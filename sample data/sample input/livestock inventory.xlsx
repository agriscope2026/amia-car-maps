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252B2D-C172-49DF-B5F5-C5866FA6D6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2026 2nd QTR" sheetId="12" r:id="rId1"/>
  </sheets>
  <calcPr calcId="191029"/>
  <extLst>
    <ext uri="GoogleSheetsCustomDataVersion2">
      <go:sheetsCustomData xmlns:go="http://customooxmlschemas.google.com/" r:id="rId16" roundtripDataChecksum="Dr8Vwe9Jr1W2JuaFGy4OBCW5zoVGyzpanMu0YsuQtHg="/>
    </ext>
  </extLst>
</workbook>
</file>

<file path=xl/calcChain.xml><?xml version="1.0" encoding="utf-8"?>
<calcChain xmlns="http://schemas.openxmlformats.org/spreadsheetml/2006/main">
  <c r="P78" i="12" l="1"/>
  <c r="O78" i="12"/>
  <c r="N78" i="12"/>
  <c r="M78" i="12"/>
  <c r="K78" i="12"/>
  <c r="J78" i="12"/>
  <c r="I78" i="12"/>
  <c r="G78" i="12"/>
  <c r="F78" i="12"/>
  <c r="E78" i="12"/>
  <c r="D78" i="12"/>
  <c r="C78" i="12"/>
  <c r="P69" i="12"/>
  <c r="O69" i="12"/>
  <c r="N69" i="12"/>
  <c r="M69" i="12"/>
  <c r="K69" i="12"/>
  <c r="J69" i="12"/>
  <c r="I69" i="12"/>
  <c r="H69" i="12"/>
  <c r="G69" i="12"/>
  <c r="F69" i="12"/>
  <c r="E69" i="12"/>
  <c r="D69" i="12"/>
  <c r="C69" i="12"/>
  <c r="P57" i="12"/>
  <c r="O57" i="12"/>
  <c r="N57" i="12"/>
  <c r="M57" i="12"/>
  <c r="L57" i="12"/>
  <c r="K57" i="12"/>
  <c r="K5" i="12" s="1"/>
  <c r="J57" i="12"/>
  <c r="I57" i="12"/>
  <c r="H57" i="12"/>
  <c r="G57" i="12"/>
  <c r="F57" i="12"/>
  <c r="E57" i="12"/>
  <c r="D57" i="12"/>
  <c r="C57" i="12"/>
  <c r="Q42" i="12"/>
  <c r="P42" i="12"/>
  <c r="O42" i="12"/>
  <c r="O5" i="12" s="1"/>
  <c r="N42" i="12"/>
  <c r="M42" i="12"/>
  <c r="K42" i="12"/>
  <c r="J42" i="12"/>
  <c r="I42" i="12"/>
  <c r="I5" i="12" s="1"/>
  <c r="H42" i="12"/>
  <c r="G42" i="12"/>
  <c r="F42" i="12"/>
  <c r="E42" i="12"/>
  <c r="D42" i="12"/>
  <c r="C42" i="12"/>
  <c r="Q34" i="12"/>
  <c r="O34" i="12"/>
  <c r="N34" i="12"/>
  <c r="M34" i="12"/>
  <c r="K34" i="12"/>
  <c r="J34" i="12"/>
  <c r="I34" i="12"/>
  <c r="G34" i="12"/>
  <c r="F34" i="12"/>
  <c r="E34" i="12"/>
  <c r="E5" i="12" s="1"/>
  <c r="D34" i="12"/>
  <c r="C34" i="12"/>
  <c r="Q6" i="12"/>
  <c r="P6" i="12"/>
  <c r="P5" i="12" s="1"/>
  <c r="O6" i="12"/>
  <c r="N6" i="12"/>
  <c r="N5" i="12" s="1"/>
  <c r="M6" i="12"/>
  <c r="M5" i="12" s="1"/>
  <c r="K6" i="12"/>
  <c r="J6" i="12"/>
  <c r="J5" i="12" s="1"/>
  <c r="I6" i="12"/>
  <c r="H6" i="12"/>
  <c r="H5" i="12" s="1"/>
  <c r="G6" i="12"/>
  <c r="G5" i="12" s="1"/>
  <c r="F6" i="12"/>
  <c r="E6" i="12"/>
  <c r="D6" i="12"/>
  <c r="D5" i="12" s="1"/>
  <c r="C6" i="12"/>
  <c r="C5" i="12" s="1"/>
  <c r="Q5" i="12"/>
  <c r="L5" i="12"/>
  <c r="F5" i="12"/>
</calcChain>
</file>

<file path=xl/sharedStrings.xml><?xml version="1.0" encoding="utf-8"?>
<sst xmlns="http://schemas.openxmlformats.org/spreadsheetml/2006/main" count="122" uniqueCount="114">
  <si>
    <t>PROVINCE</t>
  </si>
  <si>
    <t>MUNICIPALITY</t>
  </si>
  <si>
    <t>LIVESTOCK COMMODITIES (no. of heads)</t>
  </si>
  <si>
    <t>POULTRY COMMODITIES (no. of heads)</t>
  </si>
  <si>
    <t>APIARY</t>
  </si>
  <si>
    <t>REMARKS</t>
  </si>
  <si>
    <t>CATTLE</t>
  </si>
  <si>
    <t>CARABAO</t>
  </si>
  <si>
    <t>SHEEP</t>
  </si>
  <si>
    <t>GOAT</t>
  </si>
  <si>
    <t>HORSE</t>
  </si>
  <si>
    <t>RABBIT</t>
  </si>
  <si>
    <t>DUCK</t>
  </si>
  <si>
    <t>GOOSE</t>
  </si>
  <si>
    <t>TURKEY</t>
  </si>
  <si>
    <t>BEES</t>
  </si>
  <si>
    <t>CAR TOTAL</t>
  </si>
  <si>
    <t>ABRA</t>
  </si>
  <si>
    <t>BANGUED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</si>
  <si>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</si>
  <si>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</si>
  <si>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</si>
  <si>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</si>
  <si>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</si>
  <si>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</si>
  <si>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</si>
  <si>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</si>
  <si>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</si>
  <si>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</si>
  <si>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</si>
  <si>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</si>
  <si>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</si>
  <si>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</si>
  <si>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</si>
  <si>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PENARRUBIA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</si>
  <si>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</si>
  <si>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</si>
  <si>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</si>
  <si>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</si>
  <si>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</si>
  <si>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</si>
  <si>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</si>
  <si>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</si>
  <si>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</si>
  <si>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</si>
  <si>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APAYAO</t>
  </si>
  <si>
    <t>CALANASAN</t>
  </si>
  <si>
    <t>CONNER</t>
  </si>
  <si>
    <t>FLORA</t>
  </si>
  <si>
    <t>KABUGAO</t>
  </si>
  <si>
    <t>LUNA</t>
  </si>
  <si>
    <t>PUDTOL</t>
  </si>
  <si>
    <t>SANTA MARCELA</t>
  </si>
  <si>
    <t>BENGUET</t>
  </si>
  <si>
    <t>ATOK</t>
  </si>
  <si>
    <t>BAGUIO CITY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</si>
  <si>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</si>
  <si>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</si>
  <si>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</si>
  <si>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</si>
  <si>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</si>
  <si>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</si>
  <si>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</si>
  <si>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</si>
  <si>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</si>
  <si>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</si>
  <si>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</si>
  <si>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</si>
  <si>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AGUINALDO</t>
  </si>
  <si>
    <t>ALFONSO LISTA</t>
  </si>
  <si>
    <t>ASIPULO</t>
  </si>
  <si>
    <t>BANAUE</t>
  </si>
  <si>
    <t>HINGYON</t>
  </si>
  <si>
    <t>HUNGDUAN</t>
  </si>
  <si>
    <t>KIANGAN</t>
  </si>
  <si>
    <t>LAGAWE</t>
  </si>
  <si>
    <t>LAMUT</t>
  </si>
  <si>
    <t>MAYOYAO</t>
  </si>
  <si>
    <t>TINOC</t>
  </si>
  <si>
    <t>BALBALAN</t>
  </si>
  <si>
    <t>CITY OF TABUK</t>
  </si>
  <si>
    <t>LUBUAGAN</t>
  </si>
  <si>
    <t>PASIL</t>
  </si>
  <si>
    <t>PINUKPUK</t>
  </si>
  <si>
    <t>RIZAL</t>
  </si>
  <si>
    <t>TANUDAN</t>
  </si>
  <si>
    <t>TINGLAYAN</t>
  </si>
  <si>
    <t>MOUNTAIN PROVINCE</t>
  </si>
  <si>
    <t>BARLIG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</si>
  <si>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</si>
  <si>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</si>
  <si>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</si>
  <si>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</si>
  <si>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</si>
  <si>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</si>
  <si>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</si>
  <si>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</si>
  <si>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</si>
  <si>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SOURCE: Provincial Veterinary Office (PVOs)</t>
  </si>
  <si>
    <t>KALINGA</t>
  </si>
  <si>
    <t>IFUGAO</t>
  </si>
  <si>
    <t>SWINE 
(Hi-breed)</t>
  </si>
  <si>
    <t>SWINE
(Native)</t>
  </si>
  <si>
    <t>CHICKEN 
(Commercial)</t>
  </si>
  <si>
    <t>CHICKEN 
(Native)</t>
  </si>
  <si>
    <t xml:space="preserve">c/o Ms. Irene Barbon
</t>
  </si>
  <si>
    <t xml:space="preserve">c/o Doc Lei Inocencio
</t>
  </si>
  <si>
    <t xml:space="preserve">c/o Jeremiah Goha-ad
</t>
  </si>
  <si>
    <t xml:space="preserve">c/o tsid kenue Maloc
</t>
  </si>
  <si>
    <t>c/o Ms. Emmalyn jimenez
on leave</t>
  </si>
  <si>
    <t xml:space="preserve">c/o Ms. Rebecca Balcac
</t>
  </si>
  <si>
    <t>ANIMAL POPULATION INVENTORY 2026( As of March, 2026)</t>
  </si>
  <si>
    <t>QUAIL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</si>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</sst>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_-;\-* #,##0_-;_-* &quot;-&quot;??_-;_-@"/>
  </numFmts>
  <fonts count="25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i/>
      <sz val="10"/>
      <color rgb="FF274E13"/>
      <name val="Cambria"/>
      <family val="1"/>
    </font>
    <font>
      <sz val="10"/>
      <color rgb="FF000000"/>
      <name val="Cambria"/>
      <family val="1"/>
    </font>
    <font>
      <sz val="10"/>
      <color rgb="FFFF0000"/>
      <name val="Cambria"/>
      <family val="1"/>
    </font>
    <font>
      <i/>
      <sz val="10"/>
      <color rgb="FFFF0000"/>
      <name val="Cambria"/>
      <family val="1"/>
    </font>
    <font>
      <sz val="10"/>
      <color rgb="FF000000"/>
      <name val="Cambria"/>
      <family val="1"/>
    </font>
    <font>
      <b/>
      <i/>
      <sz val="10"/>
      <color rgb="FF274E13"/>
      <name val="Cambria"/>
      <family val="1"/>
    </font>
    <font>
      <i/>
      <sz val="10"/>
      <color rgb="FF1A5429"/>
      <name val="Cambria"/>
      <family val="1"/>
    </font>
    <font>
      <sz val="10"/>
      <color theme="1"/>
      <name val="Arial"/>
      <family val="2"/>
    </font>
    <font>
      <b/>
      <sz val="10"/>
      <color rgb="FF000000"/>
      <name val="Cambria"/>
      <family val="1"/>
    </font>
    <font>
      <b/>
      <i/>
      <sz val="10"/>
      <color rgb="FF000000"/>
      <name val="Cambria"/>
      <family val="1"/>
    </font>
    <font>
      <i/>
      <sz val="10"/>
      <color rgb="FF000000"/>
      <name val="Cambria"/>
      <family val="1"/>
    </font>
    <font>
      <sz val="11"/>
      <color rgb="FF000000"/>
      <name val="Arial Narrow"/>
      <family val="2"/>
    </font>
    <font>
      <sz val="10"/>
      <color rgb="FF274E13"/>
      <name val="Cambria"/>
      <family val="1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5" fillId="2" borderId="10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vertical="center"/>
    </xf>
    <xf numFmtId="0" fontId="5" fillId="6" borderId="13" xfId="0" applyFont="1" applyFill="1" applyBorder="1" applyAlignment="1">
      <alignment vertical="center"/>
    </xf>
    <xf numFmtId="0" fontId="5" fillId="6" borderId="15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7" fillId="9" borderId="13" xfId="0" applyFont="1" applyFill="1" applyBorder="1" applyAlignment="1">
      <alignment horizontal="center" vertical="center"/>
    </xf>
    <xf numFmtId="3" fontId="7" fillId="9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10" borderId="10" xfId="0" applyFont="1" applyFill="1" applyBorder="1" applyAlignment="1">
      <alignment vertical="center"/>
    </xf>
    <xf numFmtId="0" fontId="9" fillId="10" borderId="5" xfId="0" applyFont="1" applyFill="1" applyBorder="1" applyAlignment="1">
      <alignment vertical="center"/>
    </xf>
    <xf numFmtId="3" fontId="8" fillId="10" borderId="5" xfId="0" applyNumberFormat="1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3" fontId="11" fillId="0" borderId="5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8" fillId="10" borderId="5" xfId="0" applyFont="1" applyFill="1" applyBorder="1" applyAlignment="1">
      <alignment vertical="center"/>
    </xf>
    <xf numFmtId="3" fontId="8" fillId="10" borderId="5" xfId="0" applyNumberFormat="1" applyFont="1" applyFill="1" applyBorder="1" applyAlignment="1">
      <alignment horizontal="right" vertical="center"/>
    </xf>
    <xf numFmtId="3" fontId="14" fillId="0" borderId="5" xfId="0" applyNumberFormat="1" applyFont="1" applyBorder="1" applyAlignment="1">
      <alignment horizontal="right"/>
    </xf>
    <xf numFmtId="0" fontId="10" fillId="0" borderId="5" xfId="0" applyFont="1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right" vertical="center"/>
    </xf>
    <xf numFmtId="0" fontId="9" fillId="0" borderId="16" xfId="0" applyFont="1" applyBorder="1" applyAlignment="1">
      <alignment vertical="center"/>
    </xf>
    <xf numFmtId="3" fontId="11" fillId="0" borderId="5" xfId="0" applyNumberFormat="1" applyFont="1" applyBorder="1" applyAlignment="1">
      <alignment vertical="center"/>
    </xf>
    <xf numFmtId="3" fontId="9" fillId="11" borderId="5" xfId="0" applyNumberFormat="1" applyFont="1" applyFill="1" applyBorder="1" applyAlignment="1">
      <alignment horizontal="right" vertical="center"/>
    </xf>
    <xf numFmtId="4" fontId="8" fillId="10" borderId="5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3" fontId="9" fillId="0" borderId="5" xfId="0" applyNumberFormat="1" applyFont="1" applyBorder="1"/>
    <xf numFmtId="165" fontId="9" fillId="0" borderId="5" xfId="0" applyNumberFormat="1" applyFont="1" applyBorder="1"/>
    <xf numFmtId="0" fontId="17" fillId="0" borderId="0" xfId="0" applyFont="1" applyAlignment="1">
      <alignment horizontal="right" vertical="center"/>
    </xf>
    <xf numFmtId="0" fontId="14" fillId="0" borderId="5" xfId="0" applyFont="1" applyBorder="1"/>
    <xf numFmtId="3" fontId="11" fillId="0" borderId="5" xfId="0" applyNumberFormat="1" applyFont="1" applyBorder="1" applyAlignment="1">
      <alignment horizontal="right"/>
    </xf>
    <xf numFmtId="3" fontId="11" fillId="0" borderId="5" xfId="0" applyNumberFormat="1" applyFont="1" applyBorder="1"/>
    <xf numFmtId="0" fontId="15" fillId="10" borderId="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1" fillId="0" borderId="5" xfId="0" applyNumberFormat="1" applyFont="1" applyBorder="1" applyAlignment="1">
      <alignment horizontal="right"/>
    </xf>
    <xf numFmtId="0" fontId="18" fillId="0" borderId="0" xfId="0" applyFont="1" applyAlignment="1">
      <alignment vertical="center"/>
    </xf>
    <xf numFmtId="3" fontId="2" fillId="0" borderId="5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center"/>
    </xf>
    <xf numFmtId="4" fontId="10" fillId="10" borderId="5" xfId="0" applyNumberFormat="1" applyFont="1" applyFill="1" applyBorder="1" applyAlignment="1">
      <alignment vertical="center"/>
    </xf>
    <xf numFmtId="3" fontId="18" fillId="10" borderId="5" xfId="0" applyNumberFormat="1" applyFont="1" applyFill="1" applyBorder="1" applyAlignment="1">
      <alignment vertical="center"/>
    </xf>
    <xf numFmtId="0" fontId="18" fillId="10" borderId="5" xfId="0" applyFont="1" applyFill="1" applyBorder="1" applyAlignment="1">
      <alignment vertical="center"/>
    </xf>
    <xf numFmtId="4" fontId="18" fillId="10" borderId="5" xfId="0" applyNumberFormat="1" applyFont="1" applyFill="1" applyBorder="1" applyAlignment="1">
      <alignment horizontal="right" vertical="center"/>
    </xf>
    <xf numFmtId="0" fontId="19" fillId="10" borderId="5" xfId="0" applyFont="1" applyFill="1" applyBorder="1" applyAlignment="1">
      <alignment vertical="center"/>
    </xf>
    <xf numFmtId="3" fontId="11" fillId="11" borderId="8" xfId="0" applyNumberFormat="1" applyFont="1" applyFill="1" applyBorder="1" applyAlignment="1">
      <alignment horizontal="right" vertical="center"/>
    </xf>
    <xf numFmtId="0" fontId="20" fillId="11" borderId="5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left" vertical="center" wrapText="1"/>
    </xf>
    <xf numFmtId="3" fontId="2" fillId="0" borderId="5" xfId="0" applyNumberFormat="1" applyFont="1" applyBorder="1"/>
    <xf numFmtId="4" fontId="15" fillId="10" borderId="5" xfId="0" applyNumberFormat="1" applyFont="1" applyFill="1" applyBorder="1" applyAlignment="1">
      <alignment vertical="center"/>
    </xf>
    <xf numFmtId="3" fontId="21" fillId="0" borderId="5" xfId="0" applyNumberFormat="1" applyFont="1" applyBorder="1" applyAlignment="1">
      <alignment horizontal="right"/>
    </xf>
    <xf numFmtId="3" fontId="21" fillId="0" borderId="4" xfId="0" applyNumberFormat="1" applyFont="1" applyBorder="1" applyAlignment="1">
      <alignment horizontal="right"/>
    </xf>
    <xf numFmtId="3" fontId="21" fillId="0" borderId="7" xfId="0" applyNumberFormat="1" applyFont="1" applyBorder="1" applyAlignment="1">
      <alignment horizontal="right"/>
    </xf>
    <xf numFmtId="3" fontId="21" fillId="0" borderId="8" xfId="0" applyNumberFormat="1" applyFont="1" applyBorder="1" applyAlignment="1">
      <alignment horizontal="right"/>
    </xf>
    <xf numFmtId="3" fontId="21" fillId="11" borderId="5" xfId="0" applyNumberFormat="1" applyFont="1" applyFill="1" applyBorder="1" applyAlignment="1">
      <alignment horizontal="right"/>
    </xf>
    <xf numFmtId="3" fontId="21" fillId="11" borderId="7" xfId="0" applyNumberFormat="1" applyFont="1" applyFill="1" applyBorder="1" applyAlignment="1">
      <alignment horizontal="right"/>
    </xf>
    <xf numFmtId="3" fontId="21" fillId="11" borderId="8" xfId="0" applyNumberFormat="1" applyFont="1" applyFill="1" applyBorder="1" applyAlignment="1">
      <alignment horizontal="right"/>
    </xf>
    <xf numFmtId="0" fontId="12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3" fontId="18" fillId="10" borderId="5" xfId="0" applyNumberFormat="1" applyFont="1" applyFill="1" applyBorder="1" applyAlignment="1">
      <alignment horizontal="center" vertical="center"/>
    </xf>
    <xf numFmtId="0" fontId="18" fillId="10" borderId="5" xfId="0" applyFont="1" applyFill="1" applyBorder="1" applyAlignment="1">
      <alignment horizontal="center" vertical="center"/>
    </xf>
    <xf numFmtId="3" fontId="11" fillId="11" borderId="5" xfId="0" applyNumberFormat="1" applyFont="1" applyFill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/>
    </xf>
    <xf numFmtId="3" fontId="22" fillId="0" borderId="5" xfId="0" applyNumberFormat="1" applyFont="1" applyBorder="1"/>
    <xf numFmtId="0" fontId="13" fillId="0" borderId="5" xfId="0" applyFont="1" applyBorder="1" applyAlignment="1">
      <alignment horizontal="center" vertical="center" wrapText="1"/>
    </xf>
    <xf numFmtId="4" fontId="8" fillId="10" borderId="5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3" fontId="4" fillId="0" borderId="5" xfId="0" applyNumberFormat="1" applyFont="1" applyBorder="1" applyAlignment="1">
      <alignment horizontal="right"/>
    </xf>
    <xf numFmtId="165" fontId="23" fillId="0" borderId="2" xfId="0" applyNumberFormat="1" applyFont="1" applyBorder="1" applyAlignment="1">
      <alignment horizontal="center"/>
    </xf>
    <xf numFmtId="165" fontId="23" fillId="0" borderId="5" xfId="0" applyNumberFormat="1" applyFont="1" applyBorder="1"/>
    <xf numFmtId="165" fontId="23" fillId="0" borderId="2" xfId="0" applyNumberFormat="1" applyFont="1" applyBorder="1"/>
    <xf numFmtId="3" fontId="2" fillId="0" borderId="2" xfId="0" applyNumberFormat="1" applyFont="1" applyBorder="1"/>
    <xf numFmtId="165" fontId="2" fillId="0" borderId="5" xfId="0" applyNumberFormat="1" applyFont="1" applyBorder="1"/>
    <xf numFmtId="165" fontId="24" fillId="0" borderId="3" xfId="0" applyNumberFormat="1" applyFont="1" applyBorder="1" applyAlignment="1">
      <alignment horizontal="center"/>
    </xf>
    <xf numFmtId="165" fontId="24" fillId="0" borderId="9" xfId="0" applyNumberFormat="1" applyFont="1" applyBorder="1" applyAlignment="1">
      <alignment horizontal="center"/>
    </xf>
    <xf numFmtId="165" fontId="23" fillId="0" borderId="17" xfId="0" applyNumberFormat="1" applyFont="1" applyBorder="1" applyAlignment="1">
      <alignment horizontal="center"/>
    </xf>
    <xf numFmtId="165" fontId="2" fillId="0" borderId="17" xfId="0" applyNumberFormat="1" applyFont="1" applyBorder="1"/>
    <xf numFmtId="3" fontId="2" fillId="0" borderId="17" xfId="0" applyNumberFormat="1" applyFont="1" applyBorder="1"/>
    <xf numFmtId="3" fontId="2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4" xfId="0" applyFont="1" applyBorder="1"/>
    <xf numFmtId="0" fontId="6" fillId="2" borderId="11" xfId="0" applyFont="1" applyFill="1" applyBorder="1" applyAlignment="1">
      <alignment horizontal="center" vertical="center"/>
    </xf>
    <xf numFmtId="0" fontId="1" fillId="0" borderId="12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8" xfId="0" applyFont="1" applyBorder="1"/>
    <xf numFmtId="4" fontId="8" fillId="10" borderId="2" xfId="0" applyNumberFormat="1" applyFont="1" applyFill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/>
    </xf>
    <xf numFmtId="3" fontId="21" fillId="0" borderId="17" xfId="0" applyNumberFormat="1" applyFont="1" applyBorder="1" applyAlignment="1">
      <alignment horizontal="center"/>
    </xf>
    <xf numFmtId="3" fontId="21" fillId="11" borderId="17" xfId="0" applyNumberFormat="1" applyFont="1" applyFill="1" applyBorder="1" applyAlignment="1">
      <alignment horizontal="center"/>
    </xf>
    <xf numFmtId="3" fontId="21" fillId="11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962025</xdr:colOff>
      <xdr:row>3</xdr:row>
      <xdr:rowOff>0</xdr:rowOff>
    </xdr:from>
    <xdr:ext cx="933450" cy="619125"/>
    <xdr:pic>
      <xdr:nvPicPr>
        <xdr:cNvPr id="2" name="image2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2</xdr:row>
      <xdr:rowOff>190500</xdr:rowOff>
    </xdr:from>
    <xdr:ext cx="1076325" cy="619125"/>
    <xdr:pic>
      <xdr:nvPicPr>
        <xdr:cNvPr id="3" name="image25.png" title="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1171575</xdr:colOff>
      <xdr:row>3</xdr:row>
      <xdr:rowOff>0</xdr:rowOff>
    </xdr:from>
    <xdr:ext cx="1076325" cy="552450"/>
    <xdr:pic>
      <xdr:nvPicPr>
        <xdr:cNvPr id="4" name="image14.png" title="Image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1028700</xdr:colOff>
      <xdr:row>3</xdr:row>
      <xdr:rowOff>0</xdr:rowOff>
    </xdr:from>
    <xdr:ext cx="923925" cy="619125"/>
    <xdr:pic>
      <xdr:nvPicPr>
        <xdr:cNvPr id="5" name="image19.png" title="Image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3</xdr:row>
      <xdr:rowOff>0</xdr:rowOff>
    </xdr:from>
    <xdr:ext cx="933450" cy="619125"/>
    <xdr:pic>
      <xdr:nvPicPr>
        <xdr:cNvPr id="6" name="image22.png" title="Imag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28575</xdr:colOff>
      <xdr:row>2</xdr:row>
      <xdr:rowOff>190500</xdr:rowOff>
    </xdr:from>
    <xdr:ext cx="1009650" cy="619125"/>
    <xdr:pic>
      <xdr:nvPicPr>
        <xdr:cNvPr id="7" name="image18.png" title="Imag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3</xdr:row>
      <xdr:rowOff>38100</xdr:rowOff>
    </xdr:from>
    <xdr:ext cx="819150" cy="552450"/>
    <xdr:pic>
      <xdr:nvPicPr>
        <xdr:cNvPr id="8" name="image17.png" title="Imag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942975" cy="628650"/>
    <xdr:pic>
      <xdr:nvPicPr>
        <xdr:cNvPr id="9" name="image23.png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828675" cy="628650"/>
    <xdr:pic>
      <xdr:nvPicPr>
        <xdr:cNvPr id="10" name="image15.png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876300" cy="628650"/>
    <xdr:pic>
      <xdr:nvPicPr>
        <xdr:cNvPr id="11" name="image16.png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752475" cy="628650"/>
    <xdr:pic>
      <xdr:nvPicPr>
        <xdr:cNvPr id="12" name="image13.png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742950" cy="628650"/>
    <xdr:pic>
      <xdr:nvPicPr>
        <xdr:cNvPr id="13" name="image24.png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962025" cy="533400"/>
    <xdr:pic>
      <xdr:nvPicPr>
        <xdr:cNvPr id="14" name="image12.png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838200" cy="628650"/>
    <xdr:pic>
      <xdr:nvPicPr>
        <xdr:cNvPr id="15" name="image20.png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  <pageSetUpPr fitToPage="1"/>
  </sheetPr>
  <dimension ref="A1:AA1000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R2" sqref="R2:R5"/>
    </sheetView>
  </sheetViews>
  <sheetFormatPr defaultColWidth="12.5703125" defaultRowHeight="15" customHeight="1" x14ac:dyDescent="0.2"/>
  <cols>
    <col min="2" max="2" width="17.140625" customWidth="1"/>
    <col min="7" max="7" width="14.42578125" customWidth="1"/>
    <col min="11" max="11" width="15.85546875" customWidth="1"/>
    <col min="12" max="12" width="13.7109375" customWidth="1"/>
    <col min="15" max="15" width="14.42578125" customWidth="1"/>
    <col min="18" max="18" width="33.5703125" customWidth="1"/>
  </cols>
  <sheetData>
    <row r="1" spans="1:27" ht="34.5" customHeight="1" x14ac:dyDescent="0.2">
      <c r="A1" s="5"/>
      <c r="B1" s="5"/>
      <c r="C1" s="100" t="s">
        <v>111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2"/>
      <c r="T1" s="2"/>
      <c r="U1" s="2"/>
      <c r="V1" s="2"/>
      <c r="W1" s="2"/>
      <c r="X1" s="2"/>
      <c r="Y1" s="2"/>
      <c r="Z1" s="2"/>
      <c r="AA1" s="2"/>
    </row>
    <row r="2" spans="1:27" ht="28.5" customHeight="1" x14ac:dyDescent="0.2">
      <c r="A2" s="102" t="s">
        <v>0</v>
      </c>
      <c r="B2" s="102" t="s">
        <v>1</v>
      </c>
      <c r="C2" s="103" t="s">
        <v>2</v>
      </c>
      <c r="D2" s="98"/>
      <c r="E2" s="98"/>
      <c r="F2" s="98"/>
      <c r="G2" s="98"/>
      <c r="H2" s="98"/>
      <c r="I2" s="98"/>
      <c r="J2" s="98"/>
      <c r="K2" s="104" t="s">
        <v>3</v>
      </c>
      <c r="L2" s="98"/>
      <c r="M2" s="98"/>
      <c r="N2" s="98"/>
      <c r="O2" s="99"/>
      <c r="P2" s="6" t="s">
        <v>4</v>
      </c>
      <c r="Q2" s="6"/>
      <c r="R2" s="102" t="s">
        <v>5</v>
      </c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2">
      <c r="A3" s="96"/>
      <c r="B3" s="96"/>
      <c r="C3" s="7" t="s">
        <v>6</v>
      </c>
      <c r="D3" s="7" t="s">
        <v>7</v>
      </c>
      <c r="E3" s="7" t="s">
        <v>8</v>
      </c>
      <c r="F3" s="7" t="s">
        <v>9</v>
      </c>
      <c r="G3" s="7" t="s">
        <v>101</v>
      </c>
      <c r="H3" s="8" t="s">
        <v>102</v>
      </c>
      <c r="I3" s="7" t="s">
        <v>10</v>
      </c>
      <c r="J3" s="7" t="s">
        <v>11</v>
      </c>
      <c r="K3" s="9" t="s">
        <v>103</v>
      </c>
      <c r="L3" s="9" t="s">
        <v>104</v>
      </c>
      <c r="M3" s="9" t="s">
        <v>12</v>
      </c>
      <c r="N3" s="9" t="s">
        <v>13</v>
      </c>
      <c r="O3" s="9" t="s">
        <v>14</v>
      </c>
      <c r="P3" s="10" t="s">
        <v>15</v>
      </c>
      <c r="Q3" s="72" t="s">
        <v>112</v>
      </c>
      <c r="R3" s="96"/>
      <c r="S3" s="2"/>
      <c r="T3" s="2"/>
      <c r="U3" s="2"/>
      <c r="V3" s="2"/>
      <c r="W3" s="2"/>
      <c r="X3" s="2"/>
      <c r="Y3" s="2"/>
      <c r="Z3" s="2"/>
      <c r="AA3" s="2"/>
    </row>
    <row r="4" spans="1:27" ht="49.5" customHeight="1" x14ac:dyDescent="0.2">
      <c r="A4" s="97"/>
      <c r="B4" s="97"/>
      <c r="C4" s="11"/>
      <c r="D4" s="11"/>
      <c r="E4" s="11"/>
      <c r="F4" s="11"/>
      <c r="G4" s="12"/>
      <c r="H4" s="11"/>
      <c r="I4" s="13"/>
      <c r="J4" s="11"/>
      <c r="K4" s="14"/>
      <c r="L4" s="14"/>
      <c r="M4" s="14"/>
      <c r="N4" s="14"/>
      <c r="O4" s="14"/>
      <c r="P4" s="15"/>
      <c r="Q4" s="15"/>
      <c r="R4" s="96"/>
      <c r="S4" s="2"/>
      <c r="T4" s="2"/>
      <c r="U4" s="2"/>
      <c r="V4" s="2"/>
      <c r="W4" s="2"/>
      <c r="X4" s="2"/>
      <c r="Y4" s="2"/>
      <c r="Z4" s="2"/>
      <c r="AA4" s="2"/>
    </row>
    <row r="5" spans="1:27" ht="26.25" customHeight="1" x14ac:dyDescent="0.2">
      <c r="A5" s="16"/>
      <c r="B5" s="16" t="s">
        <v>16</v>
      </c>
      <c r="C5" s="17">
        <f t="shared" ref="C5:P5" si="0">SUM(C6,C34,C42,C57,C69,C78)</f>
        <v>40298</v>
      </c>
      <c r="D5" s="17">
        <f t="shared" si="0"/>
        <v>22025</v>
      </c>
      <c r="E5" s="17">
        <f t="shared" si="0"/>
        <v>3249</v>
      </c>
      <c r="F5" s="17">
        <f t="shared" si="0"/>
        <v>28755</v>
      </c>
      <c r="G5" s="17">
        <f t="shared" si="0"/>
        <v>169809</v>
      </c>
      <c r="H5" s="17">
        <f t="shared" si="0"/>
        <v>0</v>
      </c>
      <c r="I5" s="17">
        <f t="shared" si="0"/>
        <v>378</v>
      </c>
      <c r="J5" s="17">
        <f t="shared" si="0"/>
        <v>7867</v>
      </c>
      <c r="K5" s="17">
        <f t="shared" si="0"/>
        <v>1863666</v>
      </c>
      <c r="L5" s="17">
        <f t="shared" si="0"/>
        <v>255649</v>
      </c>
      <c r="M5" s="17">
        <f t="shared" si="0"/>
        <v>149525</v>
      </c>
      <c r="N5" s="17">
        <f t="shared" si="0"/>
        <v>7537</v>
      </c>
      <c r="O5" s="17">
        <f t="shared" si="0"/>
        <v>9385</v>
      </c>
      <c r="P5" s="17">
        <f t="shared" si="0"/>
        <v>1658</v>
      </c>
      <c r="Q5" s="17">
        <f>SUM(Q6, Q34, Q42, Q57,Q69,Q78)</f>
        <v>10</v>
      </c>
      <c r="R5" s="97"/>
      <c r="S5" s="2"/>
      <c r="T5" s="2"/>
      <c r="U5" s="2"/>
      <c r="V5" s="2"/>
      <c r="W5" s="2"/>
      <c r="X5" s="2"/>
      <c r="Y5" s="2"/>
      <c r="Z5" s="18"/>
      <c r="AA5" s="18"/>
    </row>
    <row r="6" spans="1:27" ht="33.75" customHeight="1" x14ac:dyDescent="0.2">
      <c r="A6" s="19" t="s">
        <v>17</v>
      </c>
      <c r="B6" s="30"/>
      <c r="C6" s="21">
        <f t="shared" ref="C6:K6" si="1">SUM(C7:C33)</f>
        <v>12815</v>
      </c>
      <c r="D6" s="21">
        <f t="shared" si="1"/>
        <v>7525</v>
      </c>
      <c r="E6" s="21">
        <f t="shared" si="1"/>
        <v>161</v>
      </c>
      <c r="F6" s="21">
        <f t="shared" si="1"/>
        <v>14106</v>
      </c>
      <c r="G6" s="21">
        <f t="shared" si="1"/>
        <v>20249</v>
      </c>
      <c r="H6" s="21">
        <f t="shared" si="1"/>
        <v>0</v>
      </c>
      <c r="I6" s="21">
        <f t="shared" si="1"/>
        <v>233</v>
      </c>
      <c r="J6" s="21">
        <f t="shared" si="1"/>
        <v>207</v>
      </c>
      <c r="K6" s="21">
        <f t="shared" si="1"/>
        <v>119784</v>
      </c>
      <c r="L6" s="21"/>
      <c r="M6" s="21">
        <f t="shared" ref="M6:Q6" si="2">SUM(M7:M33)</f>
        <v>14188</v>
      </c>
      <c r="N6" s="21">
        <f t="shared" si="2"/>
        <v>740</v>
      </c>
      <c r="O6" s="21">
        <f t="shared" si="2"/>
        <v>1376</v>
      </c>
      <c r="P6" s="21">
        <f t="shared" si="2"/>
        <v>1</v>
      </c>
      <c r="Q6" s="21">
        <f t="shared" si="2"/>
        <v>0</v>
      </c>
      <c r="R6" s="47" t="s">
        <v>105</v>
      </c>
      <c r="S6" s="48"/>
      <c r="T6" s="48"/>
      <c r="U6" s="48"/>
      <c r="V6" s="48"/>
      <c r="W6" s="48"/>
      <c r="X6" s="48"/>
      <c r="Y6" s="48"/>
      <c r="Z6" s="50"/>
      <c r="AA6" s="50"/>
    </row>
    <row r="7" spans="1:27" ht="15.75" customHeight="1" x14ac:dyDescent="0.2">
      <c r="A7" s="25"/>
      <c r="B7" s="3" t="s">
        <v>18</v>
      </c>
      <c r="C7" s="51">
        <v>2072</v>
      </c>
      <c r="D7" s="51">
        <v>632</v>
      </c>
      <c r="E7" s="51">
        <v>59</v>
      </c>
      <c r="F7" s="51">
        <v>2513</v>
      </c>
      <c r="G7" s="51">
        <v>3408</v>
      </c>
      <c r="H7" s="32"/>
      <c r="I7" s="51">
        <v>27</v>
      </c>
      <c r="J7" s="51">
        <v>5</v>
      </c>
      <c r="K7" s="51">
        <v>25759</v>
      </c>
      <c r="L7" s="73"/>
      <c r="M7" s="51">
        <v>1740</v>
      </c>
      <c r="N7" s="51">
        <v>51</v>
      </c>
      <c r="O7" s="82">
        <v>276</v>
      </c>
      <c r="P7" s="51">
        <v>0</v>
      </c>
      <c r="Q7" s="51"/>
      <c r="R7" s="27"/>
      <c r="S7" s="23"/>
      <c r="T7" s="23"/>
      <c r="U7" s="23"/>
      <c r="V7" s="23"/>
      <c r="W7" s="23"/>
      <c r="X7" s="23"/>
      <c r="Y7" s="23"/>
      <c r="Z7" s="24"/>
      <c r="AA7" s="24"/>
    </row>
    <row r="8" spans="1:27" ht="15.75" customHeight="1" x14ac:dyDescent="0.2">
      <c r="A8" s="25"/>
      <c r="B8" s="3" t="s">
        <v>19</v>
      </c>
      <c r="C8" s="51">
        <v>249</v>
      </c>
      <c r="D8" s="51">
        <v>391</v>
      </c>
      <c r="E8" s="51">
        <v>27</v>
      </c>
      <c r="F8" s="51">
        <v>77</v>
      </c>
      <c r="G8" s="51">
        <v>481</v>
      </c>
      <c r="H8" s="32"/>
      <c r="I8" s="51">
        <v>10</v>
      </c>
      <c r="J8" s="51">
        <v>0</v>
      </c>
      <c r="K8" s="51">
        <v>7226</v>
      </c>
      <c r="L8" s="73"/>
      <c r="M8" s="51">
        <v>1177</v>
      </c>
      <c r="N8" s="51">
        <v>12</v>
      </c>
      <c r="O8" s="82">
        <v>0</v>
      </c>
      <c r="P8" s="51">
        <v>0</v>
      </c>
      <c r="Q8" s="51"/>
      <c r="R8" s="27"/>
      <c r="S8" s="23"/>
      <c r="T8" s="23"/>
      <c r="U8" s="23"/>
      <c r="V8" s="23"/>
      <c r="W8" s="23"/>
      <c r="X8" s="23"/>
      <c r="Y8" s="23"/>
      <c r="Z8" s="24"/>
      <c r="AA8" s="24"/>
    </row>
    <row r="9" spans="1:27" ht="15.75" customHeight="1" x14ac:dyDescent="0.2">
      <c r="A9" s="25"/>
      <c r="B9" s="3" t="s">
        <v>20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32"/>
      <c r="I9" s="51">
        <v>0</v>
      </c>
      <c r="J9" s="51">
        <v>0</v>
      </c>
      <c r="K9" s="51">
        <v>0</v>
      </c>
      <c r="L9" s="73"/>
      <c r="M9" s="51">
        <v>0</v>
      </c>
      <c r="N9" s="51">
        <v>0</v>
      </c>
      <c r="O9" s="82">
        <v>0</v>
      </c>
      <c r="P9" s="51">
        <v>0</v>
      </c>
      <c r="Q9" s="51"/>
      <c r="R9" s="27"/>
      <c r="S9" s="23"/>
      <c r="T9" s="23"/>
      <c r="U9" s="23"/>
      <c r="V9" s="23"/>
      <c r="W9" s="23"/>
      <c r="X9" s="23"/>
      <c r="Y9" s="23"/>
      <c r="Z9" s="24"/>
      <c r="AA9" s="24"/>
    </row>
    <row r="10" spans="1:27" ht="15.75" customHeight="1" x14ac:dyDescent="0.2">
      <c r="A10" s="25"/>
      <c r="B10" s="3" t="s">
        <v>21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32"/>
      <c r="I10" s="51">
        <v>0</v>
      </c>
      <c r="J10" s="51">
        <v>0</v>
      </c>
      <c r="K10" s="51">
        <v>0</v>
      </c>
      <c r="L10" s="73"/>
      <c r="M10" s="51">
        <v>0</v>
      </c>
      <c r="N10" s="51">
        <v>0</v>
      </c>
      <c r="O10" s="82">
        <v>0</v>
      </c>
      <c r="P10" s="51">
        <v>0</v>
      </c>
      <c r="Q10" s="51"/>
      <c r="R10" s="27"/>
      <c r="S10" s="23"/>
      <c r="T10" s="23"/>
      <c r="U10" s="23"/>
      <c r="V10" s="23"/>
      <c r="W10" s="23"/>
      <c r="X10" s="23"/>
      <c r="Y10" s="23"/>
      <c r="Z10" s="24"/>
      <c r="AA10" s="24"/>
    </row>
    <row r="11" spans="1:27" ht="15.75" customHeight="1" x14ac:dyDescent="0.2">
      <c r="A11" s="25"/>
      <c r="B11" s="3" t="s">
        <v>22</v>
      </c>
      <c r="C11" s="51">
        <v>430</v>
      </c>
      <c r="D11" s="51">
        <v>143</v>
      </c>
      <c r="E11" s="51">
        <v>0</v>
      </c>
      <c r="F11" s="51">
        <v>67</v>
      </c>
      <c r="G11" s="51">
        <v>583</v>
      </c>
      <c r="H11" s="32"/>
      <c r="I11" s="51">
        <v>0</v>
      </c>
      <c r="J11" s="51">
        <v>0</v>
      </c>
      <c r="K11" s="51">
        <v>1920</v>
      </c>
      <c r="L11" s="73"/>
      <c r="M11" s="51">
        <v>575</v>
      </c>
      <c r="N11" s="51">
        <v>38</v>
      </c>
      <c r="O11" s="82">
        <v>27</v>
      </c>
      <c r="P11" s="51">
        <v>0</v>
      </c>
      <c r="Q11" s="51"/>
      <c r="R11" s="27"/>
      <c r="S11" s="23"/>
      <c r="T11" s="23"/>
      <c r="U11" s="23"/>
      <c r="V11" s="23"/>
      <c r="W11" s="23"/>
      <c r="X11" s="23"/>
      <c r="Y11" s="23"/>
      <c r="Z11" s="24"/>
      <c r="AA11" s="24"/>
    </row>
    <row r="12" spans="1:27" ht="15.75" customHeight="1" x14ac:dyDescent="0.2">
      <c r="A12" s="25"/>
      <c r="B12" s="3" t="s">
        <v>23</v>
      </c>
      <c r="C12" s="51">
        <v>643</v>
      </c>
      <c r="D12" s="51">
        <v>232</v>
      </c>
      <c r="E12" s="51">
        <v>0</v>
      </c>
      <c r="F12" s="51">
        <v>634</v>
      </c>
      <c r="G12" s="51">
        <v>262</v>
      </c>
      <c r="H12" s="32"/>
      <c r="I12" s="51">
        <v>0</v>
      </c>
      <c r="J12" s="51">
        <v>0</v>
      </c>
      <c r="K12" s="51">
        <v>3842</v>
      </c>
      <c r="L12" s="73"/>
      <c r="M12" s="51">
        <v>608</v>
      </c>
      <c r="N12" s="51">
        <v>0</v>
      </c>
      <c r="O12" s="82">
        <v>82</v>
      </c>
      <c r="P12" s="51">
        <v>0</v>
      </c>
      <c r="Q12" s="51"/>
      <c r="R12" s="27"/>
      <c r="S12" s="23"/>
      <c r="T12" s="23"/>
      <c r="U12" s="23"/>
      <c r="V12" s="23"/>
      <c r="W12" s="23"/>
      <c r="X12" s="23"/>
      <c r="Y12" s="23"/>
      <c r="Z12" s="24"/>
      <c r="AA12" s="24"/>
    </row>
    <row r="13" spans="1:27" ht="15.75" customHeight="1" x14ac:dyDescent="0.2">
      <c r="A13" s="25"/>
      <c r="B13" s="3" t="s">
        <v>24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32"/>
      <c r="I13" s="51">
        <v>0</v>
      </c>
      <c r="J13" s="51">
        <v>0</v>
      </c>
      <c r="K13" s="51">
        <v>0</v>
      </c>
      <c r="L13" s="73"/>
      <c r="M13" s="51">
        <v>0</v>
      </c>
      <c r="N13" s="51">
        <v>0</v>
      </c>
      <c r="O13" s="82">
        <v>0</v>
      </c>
      <c r="P13" s="51">
        <v>0</v>
      </c>
      <c r="Q13" s="51"/>
      <c r="R13" s="27"/>
      <c r="S13" s="23"/>
      <c r="T13" s="23"/>
      <c r="U13" s="23"/>
      <c r="V13" s="23"/>
      <c r="W13" s="23"/>
      <c r="X13" s="23"/>
      <c r="Y13" s="23"/>
      <c r="Z13" s="24"/>
      <c r="AA13" s="24"/>
    </row>
    <row r="14" spans="1:27" ht="15.75" customHeight="1" x14ac:dyDescent="0.2">
      <c r="A14" s="25"/>
      <c r="B14" s="3" t="s">
        <v>25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32"/>
      <c r="I14" s="51">
        <v>0</v>
      </c>
      <c r="J14" s="51">
        <v>0</v>
      </c>
      <c r="K14" s="51">
        <v>0</v>
      </c>
      <c r="L14" s="73"/>
      <c r="M14" s="51">
        <v>0</v>
      </c>
      <c r="N14" s="51">
        <v>0</v>
      </c>
      <c r="O14" s="82">
        <v>0</v>
      </c>
      <c r="P14" s="51">
        <v>0</v>
      </c>
      <c r="Q14" s="51"/>
      <c r="R14" s="27"/>
      <c r="S14" s="23"/>
      <c r="T14" s="23"/>
      <c r="U14" s="23"/>
      <c r="V14" s="23"/>
      <c r="W14" s="23"/>
      <c r="X14" s="23"/>
      <c r="Y14" s="23"/>
      <c r="Z14" s="24"/>
      <c r="AA14" s="24"/>
    </row>
    <row r="15" spans="1:27" ht="15.75" customHeight="1" x14ac:dyDescent="0.2">
      <c r="A15" s="25"/>
      <c r="B15" s="3" t="s">
        <v>26</v>
      </c>
      <c r="C15" s="51">
        <v>614</v>
      </c>
      <c r="D15" s="51">
        <v>497</v>
      </c>
      <c r="E15" s="51">
        <v>0</v>
      </c>
      <c r="F15" s="51">
        <v>50</v>
      </c>
      <c r="G15" s="51">
        <v>430</v>
      </c>
      <c r="H15" s="32"/>
      <c r="I15" s="51">
        <v>45</v>
      </c>
      <c r="J15" s="51">
        <v>0</v>
      </c>
      <c r="K15" s="51">
        <v>710</v>
      </c>
      <c r="L15" s="73"/>
      <c r="M15" s="51">
        <v>55</v>
      </c>
      <c r="N15" s="51">
        <v>0</v>
      </c>
      <c r="O15" s="82">
        <v>0</v>
      </c>
      <c r="P15" s="51">
        <v>0</v>
      </c>
      <c r="Q15" s="51"/>
      <c r="R15" s="27"/>
      <c r="S15" s="23"/>
      <c r="T15" s="23"/>
      <c r="U15" s="23"/>
      <c r="V15" s="23"/>
      <c r="W15" s="23"/>
      <c r="X15" s="23"/>
      <c r="Y15" s="23"/>
      <c r="Z15" s="24"/>
      <c r="AA15" s="24"/>
    </row>
    <row r="16" spans="1:27" ht="15.75" customHeight="1" x14ac:dyDescent="0.2">
      <c r="A16" s="25"/>
      <c r="B16" s="3" t="s">
        <v>27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32"/>
      <c r="I16" s="51">
        <v>0</v>
      </c>
      <c r="J16" s="51">
        <v>0</v>
      </c>
      <c r="K16" s="51">
        <v>0</v>
      </c>
      <c r="L16" s="73"/>
      <c r="M16" s="51">
        <v>0</v>
      </c>
      <c r="N16" s="51">
        <v>0</v>
      </c>
      <c r="O16" s="82">
        <v>0</v>
      </c>
      <c r="P16" s="51">
        <v>0</v>
      </c>
      <c r="Q16" s="51"/>
      <c r="R16" s="27"/>
      <c r="S16" s="23"/>
      <c r="T16" s="23"/>
      <c r="U16" s="23"/>
      <c r="V16" s="23"/>
      <c r="W16" s="23"/>
      <c r="X16" s="23"/>
      <c r="Y16" s="23"/>
      <c r="Z16" s="24"/>
      <c r="AA16" s="24"/>
    </row>
    <row r="17" spans="1:27" ht="15.75" customHeight="1" x14ac:dyDescent="0.2">
      <c r="A17" s="25"/>
      <c r="B17" s="3" t="s">
        <v>28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32"/>
      <c r="I17" s="51">
        <v>0</v>
      </c>
      <c r="J17" s="51">
        <v>0</v>
      </c>
      <c r="K17" s="51">
        <v>0</v>
      </c>
      <c r="L17" s="73"/>
      <c r="M17" s="51">
        <v>0</v>
      </c>
      <c r="N17" s="51">
        <v>0</v>
      </c>
      <c r="O17" s="82">
        <v>0</v>
      </c>
      <c r="P17" s="51">
        <v>0</v>
      </c>
      <c r="Q17" s="51"/>
      <c r="R17" s="27"/>
      <c r="S17" s="23"/>
      <c r="T17" s="23"/>
      <c r="U17" s="23"/>
      <c r="V17" s="23"/>
      <c r="W17" s="23"/>
      <c r="X17" s="23"/>
      <c r="Y17" s="23"/>
      <c r="Z17" s="24"/>
      <c r="AA17" s="24"/>
    </row>
    <row r="18" spans="1:27" ht="15.75" customHeight="1" x14ac:dyDescent="0.2">
      <c r="A18" s="25"/>
      <c r="B18" s="3" t="s">
        <v>29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32"/>
      <c r="I18" s="51">
        <v>0</v>
      </c>
      <c r="J18" s="51">
        <v>0</v>
      </c>
      <c r="K18" s="51">
        <v>0</v>
      </c>
      <c r="L18" s="73"/>
      <c r="M18" s="51">
        <v>0</v>
      </c>
      <c r="N18" s="51">
        <v>0</v>
      </c>
      <c r="O18" s="82">
        <v>0</v>
      </c>
      <c r="P18" s="51">
        <v>0</v>
      </c>
      <c r="Q18" s="51"/>
      <c r="R18" s="27"/>
      <c r="S18" s="23"/>
      <c r="T18" s="23"/>
      <c r="U18" s="23"/>
      <c r="V18" s="23"/>
      <c r="W18" s="23"/>
      <c r="X18" s="23"/>
      <c r="Y18" s="23"/>
      <c r="Z18" s="24"/>
      <c r="AA18" s="24"/>
    </row>
    <row r="19" spans="1:27" ht="15.75" customHeight="1" x14ac:dyDescent="0.2">
      <c r="A19" s="25"/>
      <c r="B19" s="3" t="s">
        <v>30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32"/>
      <c r="I19" s="51">
        <v>0</v>
      </c>
      <c r="J19" s="51">
        <v>0</v>
      </c>
      <c r="K19" s="51">
        <v>0</v>
      </c>
      <c r="L19" s="73"/>
      <c r="M19" s="51">
        <v>0</v>
      </c>
      <c r="N19" s="51">
        <v>0</v>
      </c>
      <c r="O19" s="82">
        <v>0</v>
      </c>
      <c r="P19" s="51">
        <v>0</v>
      </c>
      <c r="Q19" s="51"/>
      <c r="R19" s="27"/>
      <c r="S19" s="23"/>
      <c r="T19" s="23"/>
      <c r="U19" s="23"/>
      <c r="V19" s="23"/>
      <c r="W19" s="23"/>
      <c r="X19" s="23"/>
      <c r="Y19" s="23"/>
      <c r="Z19" s="24"/>
      <c r="AA19" s="24"/>
    </row>
    <row r="20" spans="1:27" ht="15.75" customHeight="1" x14ac:dyDescent="0.2">
      <c r="A20" s="25"/>
      <c r="B20" s="3" t="s">
        <v>31</v>
      </c>
      <c r="C20" s="51">
        <v>1227</v>
      </c>
      <c r="D20" s="51">
        <v>603</v>
      </c>
      <c r="E20" s="51">
        <v>0</v>
      </c>
      <c r="F20" s="51">
        <v>1105</v>
      </c>
      <c r="G20" s="51">
        <v>862</v>
      </c>
      <c r="H20" s="32"/>
      <c r="I20" s="51">
        <v>5</v>
      </c>
      <c r="J20" s="51">
        <v>0</v>
      </c>
      <c r="K20" s="51">
        <v>5447</v>
      </c>
      <c r="L20" s="73"/>
      <c r="M20" s="51">
        <v>932</v>
      </c>
      <c r="N20" s="51">
        <v>9</v>
      </c>
      <c r="O20" s="82">
        <v>8</v>
      </c>
      <c r="P20" s="51">
        <v>0</v>
      </c>
      <c r="Q20" s="51"/>
      <c r="R20" s="27"/>
      <c r="S20" s="23"/>
      <c r="T20" s="23"/>
      <c r="U20" s="23"/>
      <c r="V20" s="23"/>
      <c r="W20" s="23"/>
      <c r="X20" s="23"/>
      <c r="Y20" s="23"/>
      <c r="Z20" s="24"/>
      <c r="AA20" s="24"/>
    </row>
    <row r="21" spans="1:27" ht="15.75" customHeight="1" x14ac:dyDescent="0.2">
      <c r="A21" s="25"/>
      <c r="B21" s="3" t="s">
        <v>32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32"/>
      <c r="I21" s="51">
        <v>0</v>
      </c>
      <c r="J21" s="51">
        <v>0</v>
      </c>
      <c r="K21" s="51">
        <v>0</v>
      </c>
      <c r="L21" s="73"/>
      <c r="M21" s="51">
        <v>0</v>
      </c>
      <c r="N21" s="51">
        <v>0</v>
      </c>
      <c r="O21" s="82">
        <v>0</v>
      </c>
      <c r="P21" s="51">
        <v>0</v>
      </c>
      <c r="Q21" s="51"/>
      <c r="R21" s="27"/>
      <c r="S21" s="23"/>
      <c r="T21" s="23"/>
      <c r="U21" s="23"/>
      <c r="V21" s="23"/>
      <c r="W21" s="23"/>
      <c r="X21" s="23"/>
      <c r="Y21" s="23"/>
      <c r="Z21" s="24"/>
      <c r="AA21" s="24"/>
    </row>
    <row r="22" spans="1:27" ht="15.75" customHeight="1" x14ac:dyDescent="0.2">
      <c r="A22" s="25"/>
      <c r="B22" s="3" t="s">
        <v>33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32"/>
      <c r="I22" s="51">
        <v>0</v>
      </c>
      <c r="J22" s="51">
        <v>0</v>
      </c>
      <c r="K22" s="51">
        <v>0</v>
      </c>
      <c r="L22" s="73"/>
      <c r="M22" s="51">
        <v>0</v>
      </c>
      <c r="N22" s="51">
        <v>0</v>
      </c>
      <c r="O22" s="82">
        <v>0</v>
      </c>
      <c r="P22" s="51">
        <v>0</v>
      </c>
      <c r="Q22" s="51"/>
      <c r="R22" s="27"/>
      <c r="S22" s="23"/>
      <c r="T22" s="23"/>
      <c r="U22" s="23"/>
      <c r="V22" s="23"/>
      <c r="W22" s="23"/>
      <c r="X22" s="23"/>
      <c r="Y22" s="23"/>
      <c r="Z22" s="24"/>
      <c r="AA22" s="24"/>
    </row>
    <row r="23" spans="1:27" ht="15.75" customHeight="1" x14ac:dyDescent="0.2">
      <c r="A23" s="25"/>
      <c r="B23" s="3" t="s">
        <v>34</v>
      </c>
      <c r="C23" s="51">
        <v>1007</v>
      </c>
      <c r="D23" s="51">
        <v>302</v>
      </c>
      <c r="E23" s="51">
        <v>11</v>
      </c>
      <c r="F23" s="51">
        <v>1568</v>
      </c>
      <c r="G23" s="51">
        <v>2111</v>
      </c>
      <c r="H23" s="32"/>
      <c r="I23" s="51">
        <v>2</v>
      </c>
      <c r="J23" s="51">
        <v>9</v>
      </c>
      <c r="K23" s="51">
        <v>10096</v>
      </c>
      <c r="L23" s="73"/>
      <c r="M23" s="51">
        <v>1490</v>
      </c>
      <c r="N23" s="51">
        <v>22</v>
      </c>
      <c r="O23" s="82">
        <v>11</v>
      </c>
      <c r="P23" s="51">
        <v>0</v>
      </c>
      <c r="Q23" s="51"/>
      <c r="R23" s="27"/>
      <c r="S23" s="23"/>
      <c r="T23" s="23"/>
      <c r="U23" s="23"/>
      <c r="V23" s="23"/>
      <c r="W23" s="23"/>
      <c r="X23" s="23"/>
      <c r="Y23" s="23"/>
      <c r="Z23" s="24"/>
      <c r="AA23" s="24"/>
    </row>
    <row r="24" spans="1:27" ht="15.75" customHeight="1" x14ac:dyDescent="0.2">
      <c r="A24" s="25"/>
      <c r="B24" s="3" t="s">
        <v>35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32"/>
      <c r="I24" s="51">
        <v>0</v>
      </c>
      <c r="J24" s="51">
        <v>0</v>
      </c>
      <c r="K24" s="51">
        <v>0</v>
      </c>
      <c r="L24" s="73"/>
      <c r="M24" s="51">
        <v>0</v>
      </c>
      <c r="N24" s="51">
        <v>0</v>
      </c>
      <c r="O24" s="82">
        <v>0</v>
      </c>
      <c r="P24" s="51">
        <v>0</v>
      </c>
      <c r="Q24" s="51"/>
      <c r="R24" s="27"/>
      <c r="S24" s="23"/>
      <c r="T24" s="23"/>
      <c r="U24" s="23"/>
      <c r="V24" s="23"/>
      <c r="W24" s="23"/>
      <c r="X24" s="23"/>
      <c r="Y24" s="23"/>
      <c r="Z24" s="24"/>
      <c r="AA24" s="24"/>
    </row>
    <row r="25" spans="1:27" ht="15.75" customHeight="1" x14ac:dyDescent="0.2">
      <c r="A25" s="25"/>
      <c r="B25" s="3" t="s">
        <v>36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32"/>
      <c r="I25" s="51">
        <v>0</v>
      </c>
      <c r="J25" s="51">
        <v>0</v>
      </c>
      <c r="K25" s="51">
        <v>0</v>
      </c>
      <c r="L25" s="73"/>
      <c r="M25" s="51">
        <v>0</v>
      </c>
      <c r="N25" s="51">
        <v>0</v>
      </c>
      <c r="O25" s="82">
        <v>0</v>
      </c>
      <c r="P25" s="51">
        <v>0</v>
      </c>
      <c r="Q25" s="51"/>
      <c r="R25" s="27"/>
      <c r="S25" s="23"/>
      <c r="T25" s="23"/>
      <c r="U25" s="23"/>
      <c r="V25" s="23"/>
      <c r="W25" s="23"/>
      <c r="X25" s="23"/>
      <c r="Y25" s="23"/>
      <c r="Z25" s="24"/>
      <c r="AA25" s="24"/>
    </row>
    <row r="26" spans="1:27" ht="15.75" customHeight="1" x14ac:dyDescent="0.2">
      <c r="A26" s="25"/>
      <c r="B26" s="3" t="s">
        <v>37</v>
      </c>
      <c r="C26" s="51">
        <v>1359</v>
      </c>
      <c r="D26" s="51">
        <v>568</v>
      </c>
      <c r="E26" s="51">
        <v>64</v>
      </c>
      <c r="F26" s="51">
        <v>1114</v>
      </c>
      <c r="G26" s="51">
        <v>2034</v>
      </c>
      <c r="H26" s="32"/>
      <c r="I26" s="51">
        <v>27</v>
      </c>
      <c r="J26" s="51">
        <v>0</v>
      </c>
      <c r="K26" s="51">
        <v>10241</v>
      </c>
      <c r="L26" s="73"/>
      <c r="M26" s="51">
        <v>2210</v>
      </c>
      <c r="N26" s="51">
        <v>301</v>
      </c>
      <c r="O26" s="82">
        <v>262</v>
      </c>
      <c r="P26" s="51">
        <v>0</v>
      </c>
      <c r="Q26" s="51"/>
      <c r="R26" s="27"/>
      <c r="S26" s="23"/>
      <c r="T26" s="23"/>
      <c r="U26" s="23"/>
      <c r="V26" s="23"/>
      <c r="W26" s="23"/>
      <c r="X26" s="23"/>
      <c r="Y26" s="23"/>
      <c r="Z26" s="24"/>
      <c r="AA26" s="24"/>
    </row>
    <row r="27" spans="1:27" ht="15.75" customHeight="1" x14ac:dyDescent="0.2">
      <c r="A27" s="25"/>
      <c r="B27" s="3" t="s">
        <v>38</v>
      </c>
      <c r="C27" s="51">
        <v>708</v>
      </c>
      <c r="D27" s="51">
        <v>666</v>
      </c>
      <c r="E27" s="51">
        <v>0</v>
      </c>
      <c r="F27" s="51">
        <v>1568</v>
      </c>
      <c r="G27" s="51">
        <v>1076</v>
      </c>
      <c r="H27" s="32"/>
      <c r="I27" s="51">
        <v>6</v>
      </c>
      <c r="J27" s="51">
        <v>18</v>
      </c>
      <c r="K27" s="51">
        <v>10418</v>
      </c>
      <c r="L27" s="73"/>
      <c r="M27" s="51">
        <v>1299</v>
      </c>
      <c r="N27" s="51">
        <v>70</v>
      </c>
      <c r="O27" s="82">
        <v>88</v>
      </c>
      <c r="P27" s="51">
        <v>0</v>
      </c>
      <c r="Q27" s="51"/>
      <c r="R27" s="27"/>
      <c r="S27" s="23"/>
      <c r="T27" s="23"/>
      <c r="U27" s="23"/>
      <c r="V27" s="23"/>
      <c r="W27" s="23"/>
      <c r="X27" s="23"/>
      <c r="Y27" s="23"/>
      <c r="Z27" s="24"/>
      <c r="AA27" s="24"/>
    </row>
    <row r="28" spans="1:27" ht="15.75" customHeight="1" x14ac:dyDescent="0.2">
      <c r="A28" s="25"/>
      <c r="B28" s="3" t="s">
        <v>39</v>
      </c>
      <c r="C28" s="51">
        <v>1739</v>
      </c>
      <c r="D28" s="51">
        <v>1377</v>
      </c>
      <c r="E28" s="51">
        <v>0</v>
      </c>
      <c r="F28" s="51">
        <v>2175</v>
      </c>
      <c r="G28" s="51">
        <v>3409</v>
      </c>
      <c r="H28" s="32"/>
      <c r="I28" s="51">
        <v>10</v>
      </c>
      <c r="J28" s="51">
        <v>5</v>
      </c>
      <c r="K28" s="51">
        <v>9922</v>
      </c>
      <c r="L28" s="73"/>
      <c r="M28" s="51">
        <v>783</v>
      </c>
      <c r="N28" s="51">
        <v>85</v>
      </c>
      <c r="O28" s="82">
        <v>327</v>
      </c>
      <c r="P28" s="51">
        <v>1</v>
      </c>
      <c r="Q28" s="51"/>
      <c r="R28" s="27"/>
      <c r="S28" s="23"/>
      <c r="T28" s="23"/>
      <c r="U28" s="23"/>
      <c r="V28" s="23"/>
      <c r="W28" s="23"/>
      <c r="X28" s="23"/>
      <c r="Y28" s="23"/>
      <c r="Z28" s="24"/>
      <c r="AA28" s="24"/>
    </row>
    <row r="29" spans="1:27" ht="15.75" customHeight="1" x14ac:dyDescent="0.2">
      <c r="A29" s="25"/>
      <c r="B29" s="3" t="s">
        <v>40</v>
      </c>
      <c r="C29" s="51">
        <v>455</v>
      </c>
      <c r="D29" s="51">
        <v>250</v>
      </c>
      <c r="E29" s="51">
        <v>0</v>
      </c>
      <c r="F29" s="51">
        <v>795</v>
      </c>
      <c r="G29" s="51">
        <v>2183</v>
      </c>
      <c r="H29" s="32"/>
      <c r="I29" s="51">
        <v>0</v>
      </c>
      <c r="J29" s="51">
        <v>125</v>
      </c>
      <c r="K29" s="51">
        <v>12700</v>
      </c>
      <c r="L29" s="73"/>
      <c r="M29" s="51">
        <v>200</v>
      </c>
      <c r="N29" s="51">
        <v>50</v>
      </c>
      <c r="O29" s="82">
        <v>85</v>
      </c>
      <c r="P29" s="51">
        <v>0</v>
      </c>
      <c r="Q29" s="51"/>
      <c r="R29" s="27"/>
      <c r="S29" s="23"/>
      <c r="T29" s="23"/>
      <c r="U29" s="23"/>
      <c r="V29" s="23"/>
      <c r="W29" s="23"/>
      <c r="X29" s="23"/>
      <c r="Y29" s="23"/>
      <c r="Z29" s="24"/>
      <c r="AA29" s="24"/>
    </row>
    <row r="30" spans="1:27" ht="15.75" customHeight="1" x14ac:dyDescent="0.2">
      <c r="A30" s="25"/>
      <c r="B30" s="3" t="s">
        <v>41</v>
      </c>
      <c r="C30" s="51">
        <v>950</v>
      </c>
      <c r="D30" s="51">
        <v>580</v>
      </c>
      <c r="E30" s="51">
        <v>0</v>
      </c>
      <c r="F30" s="51">
        <v>700</v>
      </c>
      <c r="G30" s="51">
        <v>968</v>
      </c>
      <c r="H30" s="32"/>
      <c r="I30" s="51">
        <v>0</v>
      </c>
      <c r="J30" s="51">
        <v>0</v>
      </c>
      <c r="K30" s="51">
        <v>3415</v>
      </c>
      <c r="L30" s="73"/>
      <c r="M30" s="51">
        <v>521</v>
      </c>
      <c r="N30" s="51">
        <v>25</v>
      </c>
      <c r="O30" s="82">
        <v>15</v>
      </c>
      <c r="P30" s="51">
        <v>0</v>
      </c>
      <c r="Q30" s="51"/>
      <c r="R30" s="27"/>
      <c r="S30" s="23"/>
      <c r="T30" s="23"/>
      <c r="U30" s="23"/>
      <c r="V30" s="23"/>
      <c r="W30" s="23"/>
      <c r="X30" s="23"/>
      <c r="Y30" s="23"/>
      <c r="Z30" s="24"/>
      <c r="AA30" s="24"/>
    </row>
    <row r="31" spans="1:27" ht="15.75" customHeight="1" x14ac:dyDescent="0.2">
      <c r="A31" s="25"/>
      <c r="B31" s="3" t="s">
        <v>42</v>
      </c>
      <c r="C31" s="51">
        <v>394</v>
      </c>
      <c r="D31" s="51">
        <v>682</v>
      </c>
      <c r="E31" s="51">
        <v>0</v>
      </c>
      <c r="F31" s="51">
        <v>351</v>
      </c>
      <c r="G31" s="51">
        <v>348</v>
      </c>
      <c r="H31" s="32"/>
      <c r="I31" s="51">
        <v>93</v>
      </c>
      <c r="J31" s="51">
        <v>0</v>
      </c>
      <c r="K31" s="51">
        <v>2285</v>
      </c>
      <c r="L31" s="73"/>
      <c r="M31" s="51">
        <v>148</v>
      </c>
      <c r="N31" s="51">
        <v>0</v>
      </c>
      <c r="O31" s="82">
        <v>0</v>
      </c>
      <c r="P31" s="51">
        <v>0</v>
      </c>
      <c r="Q31" s="51"/>
      <c r="R31" s="27"/>
      <c r="S31" s="23"/>
      <c r="T31" s="23"/>
      <c r="U31" s="23"/>
      <c r="V31" s="23"/>
      <c r="W31" s="23"/>
      <c r="X31" s="23"/>
      <c r="Y31" s="23"/>
      <c r="Z31" s="24"/>
      <c r="AA31" s="24"/>
    </row>
    <row r="32" spans="1:27" ht="15.75" customHeight="1" x14ac:dyDescent="0.2">
      <c r="A32" s="25"/>
      <c r="B32" s="3" t="s">
        <v>43</v>
      </c>
      <c r="C32" s="51">
        <v>346</v>
      </c>
      <c r="D32" s="51">
        <v>317</v>
      </c>
      <c r="E32" s="51">
        <v>0</v>
      </c>
      <c r="F32" s="51">
        <v>337</v>
      </c>
      <c r="G32" s="51">
        <v>1110</v>
      </c>
      <c r="H32" s="32"/>
      <c r="I32" s="51">
        <v>6</v>
      </c>
      <c r="J32" s="51">
        <v>32</v>
      </c>
      <c r="K32" s="51">
        <v>8900</v>
      </c>
      <c r="L32" s="73"/>
      <c r="M32" s="51">
        <v>930</v>
      </c>
      <c r="N32" s="51">
        <v>0</v>
      </c>
      <c r="O32" s="82">
        <v>25</v>
      </c>
      <c r="P32" s="51">
        <v>0</v>
      </c>
      <c r="Q32" s="51"/>
      <c r="R32" s="27"/>
      <c r="S32" s="23"/>
      <c r="T32" s="23"/>
      <c r="U32" s="23"/>
      <c r="V32" s="23"/>
      <c r="W32" s="23"/>
      <c r="X32" s="23"/>
      <c r="Y32" s="23"/>
      <c r="Z32" s="24"/>
      <c r="AA32" s="24"/>
    </row>
    <row r="33" spans="1:27" ht="15.75" customHeight="1" x14ac:dyDescent="0.2">
      <c r="A33" s="25"/>
      <c r="B33" s="3" t="s">
        <v>44</v>
      </c>
      <c r="C33" s="51">
        <v>622</v>
      </c>
      <c r="D33" s="51">
        <v>285</v>
      </c>
      <c r="E33" s="51">
        <v>0</v>
      </c>
      <c r="F33" s="51">
        <v>1052</v>
      </c>
      <c r="G33" s="51">
        <v>984</v>
      </c>
      <c r="H33" s="32"/>
      <c r="I33" s="51">
        <v>2</v>
      </c>
      <c r="J33" s="51">
        <v>13</v>
      </c>
      <c r="K33" s="51">
        <v>6903</v>
      </c>
      <c r="L33" s="73"/>
      <c r="M33" s="51">
        <v>1520</v>
      </c>
      <c r="N33" s="51">
        <v>77</v>
      </c>
      <c r="O33" s="82">
        <v>170</v>
      </c>
      <c r="P33" s="51">
        <v>0</v>
      </c>
      <c r="Q33" s="51"/>
      <c r="R33" s="27"/>
      <c r="S33" s="23"/>
      <c r="T33" s="23"/>
      <c r="U33" s="23"/>
      <c r="V33" s="23"/>
      <c r="W33" s="23"/>
      <c r="X33" s="23"/>
      <c r="Y33" s="23"/>
      <c r="Z33" s="24"/>
      <c r="AA33" s="24"/>
    </row>
    <row r="34" spans="1:27" ht="15.75" customHeight="1" x14ac:dyDescent="0.2">
      <c r="A34" s="30" t="s">
        <v>45</v>
      </c>
      <c r="B34" s="30"/>
      <c r="C34" s="54">
        <f t="shared" ref="C34:D34" si="3">SUM(C35:C41)</f>
        <v>3382</v>
      </c>
      <c r="D34" s="54">
        <f t="shared" si="3"/>
        <v>6715</v>
      </c>
      <c r="E34" s="54">
        <f>SUM(E35:E40)</f>
        <v>1361</v>
      </c>
      <c r="F34" s="54">
        <f t="shared" ref="F34:G34" si="4">SUM(F35:F41)</f>
        <v>2548</v>
      </c>
      <c r="G34" s="54">
        <f t="shared" si="4"/>
        <v>16019</v>
      </c>
      <c r="H34" s="55"/>
      <c r="I34" s="54">
        <f t="shared" ref="I34:K34" si="5">SUM(I35:I41)</f>
        <v>8</v>
      </c>
      <c r="J34" s="54">
        <f t="shared" si="5"/>
        <v>407</v>
      </c>
      <c r="K34" s="74">
        <f t="shared" si="5"/>
        <v>135169</v>
      </c>
      <c r="L34" s="75"/>
      <c r="M34" s="54">
        <f t="shared" ref="M34:O34" si="6">SUM(M35:M41)</f>
        <v>33536</v>
      </c>
      <c r="N34" s="54">
        <f t="shared" si="6"/>
        <v>778</v>
      </c>
      <c r="O34" s="56">
        <f t="shared" si="6"/>
        <v>2051</v>
      </c>
      <c r="P34" s="56">
        <v>0</v>
      </c>
      <c r="Q34" s="56">
        <f>SUM(Q35:AA41)</f>
        <v>0</v>
      </c>
      <c r="R34" s="57" t="s">
        <v>106</v>
      </c>
      <c r="S34" s="48"/>
      <c r="T34" s="48"/>
      <c r="U34" s="48"/>
      <c r="V34" s="48"/>
      <c r="W34" s="48"/>
      <c r="X34" s="48"/>
      <c r="Y34" s="48"/>
      <c r="Z34" s="50"/>
      <c r="AA34" s="50"/>
    </row>
    <row r="35" spans="1:27" ht="15.75" customHeight="1" x14ac:dyDescent="0.2">
      <c r="A35" s="28"/>
      <c r="B35" s="28" t="s">
        <v>46</v>
      </c>
      <c r="C35" s="58">
        <v>348</v>
      </c>
      <c r="D35" s="58">
        <v>577</v>
      </c>
      <c r="E35" s="58">
        <v>165</v>
      </c>
      <c r="F35" s="58">
        <v>346</v>
      </c>
      <c r="G35" s="58">
        <v>1503</v>
      </c>
      <c r="H35" s="58">
        <v>1503</v>
      </c>
      <c r="I35" s="58">
        <v>0</v>
      </c>
      <c r="J35" s="58">
        <v>0</v>
      </c>
      <c r="K35" s="76">
        <v>5776</v>
      </c>
      <c r="L35" s="76"/>
      <c r="M35" s="58">
        <v>2911</v>
      </c>
      <c r="N35" s="58">
        <v>172</v>
      </c>
      <c r="O35" s="58">
        <v>250</v>
      </c>
      <c r="P35" s="32"/>
      <c r="Q35" s="32"/>
      <c r="R35" s="59"/>
      <c r="S35" s="23"/>
      <c r="T35" s="23"/>
      <c r="U35" s="23"/>
      <c r="V35" s="23"/>
      <c r="W35" s="23"/>
      <c r="X35" s="23"/>
      <c r="Y35" s="23"/>
      <c r="Z35" s="24"/>
      <c r="AA35" s="24"/>
    </row>
    <row r="36" spans="1:27" ht="15.75" customHeight="1" x14ac:dyDescent="0.2">
      <c r="A36" s="28"/>
      <c r="B36" s="28" t="s">
        <v>47</v>
      </c>
      <c r="C36" s="58">
        <v>289</v>
      </c>
      <c r="D36" s="58">
        <v>1159</v>
      </c>
      <c r="E36" s="58">
        <v>123</v>
      </c>
      <c r="F36" s="58">
        <v>335</v>
      </c>
      <c r="G36" s="58">
        <v>4494</v>
      </c>
      <c r="H36" s="58">
        <v>4494</v>
      </c>
      <c r="I36" s="58">
        <v>6</v>
      </c>
      <c r="J36" s="58">
        <v>81</v>
      </c>
      <c r="K36" s="76">
        <v>15576</v>
      </c>
      <c r="L36" s="76"/>
      <c r="M36" s="58">
        <v>3970</v>
      </c>
      <c r="N36" s="32">
        <v>158</v>
      </c>
      <c r="O36" s="58">
        <v>223</v>
      </c>
      <c r="P36" s="32"/>
      <c r="Q36" s="32"/>
      <c r="R36" s="59"/>
      <c r="S36" s="23"/>
      <c r="T36" s="23"/>
      <c r="U36" s="23"/>
      <c r="V36" s="23"/>
      <c r="W36" s="23"/>
      <c r="X36" s="23"/>
      <c r="Y36" s="23"/>
      <c r="Z36" s="24"/>
      <c r="AA36" s="24"/>
    </row>
    <row r="37" spans="1:27" ht="15.75" customHeight="1" x14ac:dyDescent="0.2">
      <c r="A37" s="28"/>
      <c r="B37" s="28" t="s">
        <v>48</v>
      </c>
      <c r="C37" s="58">
        <v>189</v>
      </c>
      <c r="D37" s="58">
        <v>1643</v>
      </c>
      <c r="E37" s="58">
        <v>224</v>
      </c>
      <c r="F37" s="58">
        <v>431</v>
      </c>
      <c r="G37" s="58">
        <v>1633</v>
      </c>
      <c r="H37" s="58">
        <v>1633</v>
      </c>
      <c r="I37" s="58">
        <v>0</v>
      </c>
      <c r="J37" s="58">
        <v>178</v>
      </c>
      <c r="K37" s="76">
        <v>26346</v>
      </c>
      <c r="L37" s="76"/>
      <c r="M37" s="58">
        <v>7143</v>
      </c>
      <c r="N37" s="58">
        <v>0</v>
      </c>
      <c r="O37" s="58">
        <v>433</v>
      </c>
      <c r="P37" s="32"/>
      <c r="Q37" s="32"/>
      <c r="R37" s="59"/>
      <c r="S37" s="23"/>
      <c r="T37" s="23"/>
      <c r="U37" s="23"/>
      <c r="V37" s="23"/>
      <c r="W37" s="23"/>
      <c r="X37" s="23"/>
      <c r="Y37" s="23"/>
      <c r="Z37" s="24"/>
      <c r="AA37" s="24"/>
    </row>
    <row r="38" spans="1:27" ht="15.75" customHeight="1" x14ac:dyDescent="0.2">
      <c r="A38" s="28"/>
      <c r="B38" s="28" t="s">
        <v>49</v>
      </c>
      <c r="C38" s="58">
        <v>460</v>
      </c>
      <c r="D38" s="58">
        <v>377</v>
      </c>
      <c r="E38" s="58">
        <v>68</v>
      </c>
      <c r="F38" s="58">
        <v>259</v>
      </c>
      <c r="G38" s="58">
        <v>1401</v>
      </c>
      <c r="H38" s="58">
        <v>1401</v>
      </c>
      <c r="I38" s="58">
        <v>0</v>
      </c>
      <c r="J38" s="58">
        <v>0</v>
      </c>
      <c r="K38" s="76">
        <v>16372</v>
      </c>
      <c r="L38" s="76"/>
      <c r="M38" s="58">
        <v>2714</v>
      </c>
      <c r="N38" s="32">
        <v>0</v>
      </c>
      <c r="O38" s="32">
        <v>0</v>
      </c>
      <c r="P38" s="32"/>
      <c r="Q38" s="32"/>
      <c r="R38" s="59"/>
      <c r="S38" s="23"/>
      <c r="T38" s="23"/>
      <c r="U38" s="23"/>
      <c r="V38" s="23"/>
      <c r="W38" s="23"/>
      <c r="X38" s="23"/>
      <c r="Y38" s="23"/>
      <c r="Z38" s="24"/>
      <c r="AA38" s="24"/>
    </row>
    <row r="39" spans="1:27" ht="15.75" customHeight="1" x14ac:dyDescent="0.2">
      <c r="A39" s="28"/>
      <c r="B39" s="28" t="s">
        <v>50</v>
      </c>
      <c r="C39" s="58">
        <v>1150</v>
      </c>
      <c r="D39" s="58">
        <v>1175</v>
      </c>
      <c r="E39" s="58">
        <v>496</v>
      </c>
      <c r="F39" s="58">
        <v>408</v>
      </c>
      <c r="G39" s="58">
        <v>790</v>
      </c>
      <c r="H39" s="58">
        <v>790</v>
      </c>
      <c r="I39" s="58">
        <v>2</v>
      </c>
      <c r="J39" s="58">
        <v>148</v>
      </c>
      <c r="K39" s="76">
        <v>25143</v>
      </c>
      <c r="L39" s="76"/>
      <c r="M39" s="58">
        <v>12073</v>
      </c>
      <c r="N39" s="58">
        <v>142</v>
      </c>
      <c r="O39" s="58">
        <v>770</v>
      </c>
      <c r="P39" s="32"/>
      <c r="Q39" s="32"/>
      <c r="R39" s="59"/>
      <c r="S39" s="23"/>
      <c r="T39" s="23"/>
      <c r="U39" s="23"/>
      <c r="V39" s="23"/>
      <c r="W39" s="23"/>
      <c r="X39" s="23"/>
      <c r="Y39" s="23"/>
      <c r="Z39" s="24"/>
      <c r="AA39" s="24"/>
    </row>
    <row r="40" spans="1:27" ht="15.75" customHeight="1" x14ac:dyDescent="0.2">
      <c r="A40" s="28"/>
      <c r="B40" s="28" t="s">
        <v>51</v>
      </c>
      <c r="C40" s="58">
        <v>524</v>
      </c>
      <c r="D40" s="58">
        <v>711</v>
      </c>
      <c r="E40" s="58">
        <v>285</v>
      </c>
      <c r="F40" s="58">
        <v>409</v>
      </c>
      <c r="G40" s="58">
        <v>2565</v>
      </c>
      <c r="H40" s="58">
        <v>2565</v>
      </c>
      <c r="I40" s="58">
        <v>0</v>
      </c>
      <c r="J40" s="58">
        <v>0</v>
      </c>
      <c r="K40" s="76">
        <v>4677</v>
      </c>
      <c r="L40" s="76"/>
      <c r="M40" s="58">
        <v>2184</v>
      </c>
      <c r="N40" s="58">
        <v>306</v>
      </c>
      <c r="O40" s="58">
        <v>0</v>
      </c>
      <c r="P40" s="32"/>
      <c r="Q40" s="32"/>
      <c r="R40" s="59"/>
      <c r="S40" s="23"/>
      <c r="T40" s="23"/>
      <c r="U40" s="23"/>
      <c r="V40" s="23"/>
      <c r="W40" s="23"/>
      <c r="X40" s="23"/>
      <c r="Y40" s="23"/>
      <c r="Z40" s="24"/>
      <c r="AA40" s="24"/>
    </row>
    <row r="41" spans="1:27" ht="15.75" customHeight="1" x14ac:dyDescent="0.2">
      <c r="A41" s="28"/>
      <c r="B41" s="28" t="s">
        <v>52</v>
      </c>
      <c r="C41" s="58">
        <v>422</v>
      </c>
      <c r="D41" s="58">
        <v>1073</v>
      </c>
      <c r="E41" s="58">
        <v>352</v>
      </c>
      <c r="F41" s="58">
        <v>360</v>
      </c>
      <c r="G41" s="58">
        <v>3633</v>
      </c>
      <c r="H41" s="58">
        <v>3633</v>
      </c>
      <c r="I41" s="58">
        <v>0</v>
      </c>
      <c r="J41" s="58">
        <v>0</v>
      </c>
      <c r="K41" s="76">
        <v>41279</v>
      </c>
      <c r="L41" s="76"/>
      <c r="M41" s="58">
        <v>2541</v>
      </c>
      <c r="N41" s="32">
        <v>0</v>
      </c>
      <c r="O41" s="32">
        <v>375</v>
      </c>
      <c r="P41" s="32"/>
      <c r="Q41" s="32"/>
      <c r="R41" s="59"/>
      <c r="S41" s="23"/>
      <c r="T41" s="23"/>
      <c r="U41" s="23"/>
      <c r="V41" s="23"/>
      <c r="W41" s="23"/>
      <c r="X41" s="23"/>
      <c r="Y41" s="23"/>
      <c r="Z41" s="24"/>
      <c r="AA41" s="24"/>
    </row>
    <row r="42" spans="1:27" ht="15.75" customHeight="1" x14ac:dyDescent="0.2">
      <c r="A42" s="30" t="s">
        <v>53</v>
      </c>
      <c r="B42" s="20"/>
      <c r="C42" s="31">
        <f t="shared" ref="C42:K42" si="7">SUM(C43:C56)</f>
        <v>4641</v>
      </c>
      <c r="D42" s="31">
        <f t="shared" si="7"/>
        <v>721</v>
      </c>
      <c r="E42" s="31">
        <f t="shared" si="7"/>
        <v>375</v>
      </c>
      <c r="F42" s="31">
        <f t="shared" si="7"/>
        <v>3632</v>
      </c>
      <c r="G42" s="31">
        <f t="shared" si="7"/>
        <v>83584</v>
      </c>
      <c r="H42" s="31">
        <f t="shared" si="7"/>
        <v>0</v>
      </c>
      <c r="I42" s="31">
        <f t="shared" si="7"/>
        <v>88</v>
      </c>
      <c r="J42" s="31">
        <f t="shared" si="7"/>
        <v>3867</v>
      </c>
      <c r="K42" s="21">
        <f t="shared" si="7"/>
        <v>309463</v>
      </c>
      <c r="L42" s="21"/>
      <c r="M42" s="31">
        <f t="shared" ref="M42:Q42" si="8">SUM(M43:M56)</f>
        <v>17195</v>
      </c>
      <c r="N42" s="31">
        <f t="shared" si="8"/>
        <v>638</v>
      </c>
      <c r="O42" s="31">
        <f t="shared" si="8"/>
        <v>1183</v>
      </c>
      <c r="P42" s="31">
        <f t="shared" si="8"/>
        <v>1445</v>
      </c>
      <c r="Q42" s="31">
        <f t="shared" si="8"/>
        <v>10</v>
      </c>
      <c r="R42" s="22" t="s">
        <v>109</v>
      </c>
      <c r="S42" s="23"/>
      <c r="T42" s="23"/>
      <c r="U42" s="23"/>
      <c r="V42" s="23"/>
      <c r="W42" s="23"/>
      <c r="X42" s="23"/>
      <c r="Y42" s="23"/>
      <c r="Z42" s="24"/>
      <c r="AA42" s="24"/>
    </row>
    <row r="43" spans="1:27" ht="15.75" customHeight="1" x14ac:dyDescent="0.2">
      <c r="A43" s="25"/>
      <c r="B43" s="28" t="s">
        <v>54</v>
      </c>
      <c r="C43" s="41">
        <v>248</v>
      </c>
      <c r="D43" s="42">
        <v>78</v>
      </c>
      <c r="E43" s="42">
        <v>12</v>
      </c>
      <c r="F43" s="42">
        <v>82</v>
      </c>
      <c r="G43" s="77">
        <v>4966</v>
      </c>
      <c r="H43" s="26"/>
      <c r="I43" s="26">
        <v>1</v>
      </c>
      <c r="J43" s="42">
        <v>36</v>
      </c>
      <c r="K43" s="83">
        <v>30027</v>
      </c>
      <c r="L43" s="77"/>
      <c r="M43" s="84">
        <v>417</v>
      </c>
      <c r="N43" s="84">
        <v>27</v>
      </c>
      <c r="O43" s="85">
        <v>66</v>
      </c>
      <c r="P43" s="26"/>
      <c r="Q43" s="26">
        <v>0</v>
      </c>
      <c r="R43" s="27"/>
      <c r="S43" s="24"/>
      <c r="T43" s="24"/>
      <c r="U43" s="24"/>
      <c r="V43" s="24"/>
      <c r="W43" s="24"/>
      <c r="X43" s="24"/>
      <c r="Y43" s="24"/>
      <c r="Z43" s="24"/>
      <c r="AA43" s="24"/>
    </row>
    <row r="44" spans="1:27" ht="15.75" customHeight="1" x14ac:dyDescent="0.2">
      <c r="A44" s="44"/>
      <c r="B44" s="44" t="s">
        <v>55</v>
      </c>
      <c r="C44" s="45"/>
      <c r="D44" s="46"/>
      <c r="E44" s="45"/>
      <c r="F44" s="45"/>
      <c r="G44" s="45"/>
      <c r="H44" s="26"/>
      <c r="I44" s="45"/>
      <c r="J44" s="49"/>
      <c r="K44" s="77"/>
      <c r="L44" s="77"/>
      <c r="M44" s="45"/>
      <c r="N44" s="49"/>
      <c r="O44" s="78"/>
      <c r="P44" s="86"/>
      <c r="Q44" s="86"/>
      <c r="R44" s="27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28"/>
      <c r="B45" s="28" t="s">
        <v>56</v>
      </c>
      <c r="C45" s="61">
        <v>296</v>
      </c>
      <c r="D45" s="87">
        <v>84</v>
      </c>
      <c r="E45" s="87">
        <v>6</v>
      </c>
      <c r="F45" s="87">
        <v>130</v>
      </c>
      <c r="G45" s="88">
        <v>3098</v>
      </c>
      <c r="H45" s="26"/>
      <c r="I45" s="61">
        <v>0</v>
      </c>
      <c r="J45" s="87">
        <v>87</v>
      </c>
      <c r="K45" s="83">
        <v>9901</v>
      </c>
      <c r="L45" s="77"/>
      <c r="M45" s="87">
        <v>493</v>
      </c>
      <c r="N45" s="87">
        <v>14</v>
      </c>
      <c r="O45" s="86">
        <v>6</v>
      </c>
      <c r="P45" s="86">
        <v>2</v>
      </c>
      <c r="Q45" s="86">
        <v>0</v>
      </c>
      <c r="R45" s="27"/>
      <c r="S45" s="23"/>
      <c r="T45" s="23"/>
      <c r="U45" s="23"/>
      <c r="V45" s="23"/>
      <c r="W45" s="23"/>
      <c r="X45" s="23"/>
      <c r="Y45" s="23"/>
      <c r="Z45" s="24"/>
      <c r="AA45" s="24"/>
    </row>
    <row r="46" spans="1:27" ht="15.75" customHeight="1" x14ac:dyDescent="0.2">
      <c r="A46" s="28"/>
      <c r="B46" s="28" t="s">
        <v>57</v>
      </c>
      <c r="C46" s="61">
        <v>642</v>
      </c>
      <c r="D46" s="87">
        <v>91</v>
      </c>
      <c r="E46" s="87">
        <v>36</v>
      </c>
      <c r="F46" s="87">
        <v>371</v>
      </c>
      <c r="G46" s="89">
        <v>5426</v>
      </c>
      <c r="H46" s="26"/>
      <c r="I46" s="61">
        <v>3</v>
      </c>
      <c r="J46" s="87">
        <v>184</v>
      </c>
      <c r="K46" s="90">
        <v>11821</v>
      </c>
      <c r="L46" s="77"/>
      <c r="M46" s="87">
        <v>1224</v>
      </c>
      <c r="N46" s="87">
        <v>138</v>
      </c>
      <c r="O46" s="91">
        <v>147</v>
      </c>
      <c r="P46" s="91">
        <v>72</v>
      </c>
      <c r="Q46" s="91">
        <v>0</v>
      </c>
      <c r="R46" s="27"/>
      <c r="S46" s="23"/>
      <c r="T46" s="23"/>
      <c r="U46" s="23"/>
      <c r="V46" s="23"/>
      <c r="W46" s="23"/>
      <c r="X46" s="23"/>
      <c r="Y46" s="23"/>
      <c r="Z46" s="24"/>
      <c r="AA46" s="24"/>
    </row>
    <row r="47" spans="1:27" ht="15.75" customHeight="1" x14ac:dyDescent="0.2">
      <c r="A47" s="28"/>
      <c r="B47" s="28" t="s">
        <v>58</v>
      </c>
      <c r="C47" s="61">
        <v>384</v>
      </c>
      <c r="D47" s="87">
        <v>38</v>
      </c>
      <c r="E47" s="87">
        <v>36</v>
      </c>
      <c r="F47" s="87">
        <v>320</v>
      </c>
      <c r="G47" s="89">
        <v>2386</v>
      </c>
      <c r="H47" s="26"/>
      <c r="I47" s="61">
        <v>2</v>
      </c>
      <c r="J47" s="87">
        <v>2178</v>
      </c>
      <c r="K47" s="90">
        <v>47777</v>
      </c>
      <c r="L47" s="77"/>
      <c r="M47" s="87">
        <v>5234</v>
      </c>
      <c r="N47" s="87">
        <v>50</v>
      </c>
      <c r="O47" s="91">
        <v>415</v>
      </c>
      <c r="P47" s="91">
        <v>191</v>
      </c>
      <c r="Q47" s="91">
        <v>0</v>
      </c>
      <c r="R47" s="27"/>
      <c r="S47" s="23"/>
      <c r="T47" s="23"/>
      <c r="U47" s="23"/>
      <c r="V47" s="23"/>
      <c r="W47" s="23"/>
      <c r="X47" s="23"/>
      <c r="Y47" s="23"/>
      <c r="Z47" s="24"/>
      <c r="AA47" s="24"/>
    </row>
    <row r="48" spans="1:27" ht="15.75" customHeight="1" x14ac:dyDescent="0.2">
      <c r="A48" s="28"/>
      <c r="B48" s="28" t="s">
        <v>59</v>
      </c>
      <c r="C48" s="61">
        <v>964</v>
      </c>
      <c r="D48" s="87">
        <v>68</v>
      </c>
      <c r="E48" s="87">
        <v>77</v>
      </c>
      <c r="F48" s="87">
        <v>471</v>
      </c>
      <c r="G48" s="89">
        <v>11876</v>
      </c>
      <c r="H48" s="26"/>
      <c r="I48" s="61">
        <v>7</v>
      </c>
      <c r="J48" s="87">
        <v>108</v>
      </c>
      <c r="K48" s="90">
        <v>26385</v>
      </c>
      <c r="L48" s="77"/>
      <c r="M48" s="87">
        <v>1373</v>
      </c>
      <c r="N48" s="87">
        <v>27</v>
      </c>
      <c r="O48" s="91">
        <v>119</v>
      </c>
      <c r="P48" s="91">
        <v>74</v>
      </c>
      <c r="Q48" s="91">
        <v>0</v>
      </c>
      <c r="R48" s="27"/>
      <c r="S48" s="23"/>
      <c r="T48" s="23"/>
      <c r="U48" s="23"/>
      <c r="V48" s="23"/>
      <c r="W48" s="23"/>
      <c r="X48" s="23"/>
      <c r="Y48" s="23"/>
      <c r="Z48" s="24"/>
      <c r="AA48" s="24"/>
    </row>
    <row r="49" spans="1:27" ht="15.75" customHeight="1" x14ac:dyDescent="0.2">
      <c r="A49" s="28"/>
      <c r="B49" s="28" t="s">
        <v>60</v>
      </c>
      <c r="C49" s="61">
        <v>606</v>
      </c>
      <c r="D49" s="87">
        <v>111</v>
      </c>
      <c r="E49" s="87">
        <v>67</v>
      </c>
      <c r="F49" s="87">
        <v>1001</v>
      </c>
      <c r="G49" s="89">
        <v>3451</v>
      </c>
      <c r="H49" s="26"/>
      <c r="I49" s="61">
        <v>5</v>
      </c>
      <c r="J49" s="87">
        <v>216</v>
      </c>
      <c r="K49" s="90">
        <v>26334</v>
      </c>
      <c r="L49" s="77"/>
      <c r="M49" s="87">
        <v>3311</v>
      </c>
      <c r="N49" s="87">
        <v>96</v>
      </c>
      <c r="O49" s="91">
        <v>71</v>
      </c>
      <c r="P49" s="91">
        <v>92</v>
      </c>
      <c r="Q49" s="91">
        <v>0</v>
      </c>
      <c r="R49" s="27"/>
      <c r="S49" s="23"/>
      <c r="T49" s="23"/>
      <c r="U49" s="23"/>
      <c r="V49" s="23"/>
      <c r="W49" s="23"/>
      <c r="X49" s="23"/>
      <c r="Y49" s="23"/>
      <c r="Z49" s="24"/>
      <c r="AA49" s="24"/>
    </row>
    <row r="50" spans="1:27" ht="15.75" customHeight="1" x14ac:dyDescent="0.2">
      <c r="A50" s="28"/>
      <c r="B50" s="28" t="s">
        <v>61</v>
      </c>
      <c r="C50" s="61">
        <v>452</v>
      </c>
      <c r="D50" s="87">
        <v>110</v>
      </c>
      <c r="E50" s="61">
        <v>27</v>
      </c>
      <c r="F50" s="87">
        <v>89</v>
      </c>
      <c r="G50" s="89">
        <v>7443</v>
      </c>
      <c r="H50" s="26"/>
      <c r="I50" s="61">
        <v>5</v>
      </c>
      <c r="J50" s="87">
        <v>148</v>
      </c>
      <c r="K50" s="90">
        <v>22475</v>
      </c>
      <c r="L50" s="77"/>
      <c r="M50" s="87">
        <v>876</v>
      </c>
      <c r="N50" s="87">
        <v>6</v>
      </c>
      <c r="O50" s="91">
        <v>47</v>
      </c>
      <c r="P50" s="91">
        <v>24</v>
      </c>
      <c r="Q50" s="91">
        <v>0</v>
      </c>
      <c r="R50" s="27"/>
      <c r="S50" s="23"/>
      <c r="T50" s="23"/>
      <c r="U50" s="23"/>
      <c r="V50" s="23"/>
      <c r="W50" s="23"/>
      <c r="X50" s="23"/>
      <c r="Y50" s="23"/>
      <c r="Z50" s="24"/>
      <c r="AA50" s="24"/>
    </row>
    <row r="51" spans="1:27" ht="15.75" customHeight="1" x14ac:dyDescent="0.2">
      <c r="A51" s="28"/>
      <c r="B51" s="28" t="s">
        <v>62</v>
      </c>
      <c r="C51" s="61">
        <v>55</v>
      </c>
      <c r="D51" s="87">
        <v>17</v>
      </c>
      <c r="E51" s="87"/>
      <c r="F51" s="87">
        <v>41</v>
      </c>
      <c r="G51" s="89">
        <v>2525</v>
      </c>
      <c r="H51" s="26"/>
      <c r="I51" s="61">
        <v>0</v>
      </c>
      <c r="J51" s="61">
        <v>26</v>
      </c>
      <c r="K51" s="90">
        <v>2535</v>
      </c>
      <c r="L51" s="77"/>
      <c r="M51" s="87">
        <v>75</v>
      </c>
      <c r="N51" s="61">
        <v>2</v>
      </c>
      <c r="O51" s="91">
        <v>8</v>
      </c>
      <c r="P51" s="92"/>
      <c r="Q51" s="92"/>
      <c r="R51" s="27"/>
      <c r="S51" s="23"/>
      <c r="T51" s="23"/>
      <c r="U51" s="23"/>
      <c r="V51" s="23"/>
      <c r="W51" s="23"/>
      <c r="X51" s="23"/>
      <c r="Y51" s="23"/>
      <c r="Z51" s="24"/>
      <c r="AA51" s="24"/>
    </row>
    <row r="52" spans="1:27" ht="15.75" customHeight="1" x14ac:dyDescent="0.2">
      <c r="A52" s="28"/>
      <c r="B52" s="28" t="s">
        <v>63</v>
      </c>
      <c r="C52" s="61">
        <v>200</v>
      </c>
      <c r="D52" s="87">
        <v>4</v>
      </c>
      <c r="E52" s="87">
        <v>59</v>
      </c>
      <c r="F52" s="87">
        <v>398</v>
      </c>
      <c r="G52" s="89">
        <v>5275</v>
      </c>
      <c r="H52" s="26"/>
      <c r="I52" s="61">
        <v>29</v>
      </c>
      <c r="J52" s="87">
        <v>404</v>
      </c>
      <c r="K52" s="90">
        <v>40033</v>
      </c>
      <c r="L52" s="77"/>
      <c r="M52" s="87">
        <v>1920</v>
      </c>
      <c r="N52" s="87">
        <v>133</v>
      </c>
      <c r="O52" s="91">
        <v>110</v>
      </c>
      <c r="P52" s="91">
        <v>371</v>
      </c>
      <c r="Q52" s="91">
        <v>10</v>
      </c>
      <c r="R52" s="33"/>
      <c r="S52" s="23"/>
      <c r="T52" s="23"/>
      <c r="U52" s="23"/>
      <c r="V52" s="23"/>
      <c r="W52" s="23"/>
      <c r="X52" s="23"/>
      <c r="Y52" s="23"/>
      <c r="Z52" s="24"/>
      <c r="AA52" s="24"/>
    </row>
    <row r="53" spans="1:27" ht="15.75" customHeight="1" x14ac:dyDescent="0.2">
      <c r="A53" s="28"/>
      <c r="B53" s="28" t="s">
        <v>64</v>
      </c>
      <c r="C53" s="61">
        <v>266</v>
      </c>
      <c r="D53" s="87">
        <v>15</v>
      </c>
      <c r="E53" s="87">
        <v>3</v>
      </c>
      <c r="F53" s="87">
        <v>135</v>
      </c>
      <c r="G53" s="89">
        <v>9267</v>
      </c>
      <c r="H53" s="26"/>
      <c r="I53" s="61">
        <v>33</v>
      </c>
      <c r="J53" s="87">
        <v>151</v>
      </c>
      <c r="K53" s="90">
        <v>21141</v>
      </c>
      <c r="L53" s="77"/>
      <c r="M53" s="87">
        <v>584</v>
      </c>
      <c r="N53" s="87">
        <v>49</v>
      </c>
      <c r="O53" s="91">
        <v>82</v>
      </c>
      <c r="P53" s="91">
        <v>401</v>
      </c>
      <c r="Q53" s="91">
        <v>0</v>
      </c>
      <c r="R53" s="27"/>
      <c r="S53" s="23"/>
      <c r="T53" s="23"/>
      <c r="U53" s="23"/>
      <c r="V53" s="23"/>
      <c r="W53" s="23"/>
      <c r="X53" s="23"/>
      <c r="Y53" s="23"/>
      <c r="Z53" s="24"/>
      <c r="AA53" s="24"/>
    </row>
    <row r="54" spans="1:27" ht="15.75" customHeight="1" x14ac:dyDescent="0.2">
      <c r="A54" s="28"/>
      <c r="B54" s="28" t="s">
        <v>65</v>
      </c>
      <c r="C54" s="61">
        <v>101</v>
      </c>
      <c r="D54" s="87">
        <v>9</v>
      </c>
      <c r="E54" s="87">
        <v>5</v>
      </c>
      <c r="F54" s="87">
        <v>142</v>
      </c>
      <c r="G54" s="89">
        <v>4715</v>
      </c>
      <c r="H54" s="26"/>
      <c r="I54" s="61">
        <v>0</v>
      </c>
      <c r="J54" s="87">
        <v>69</v>
      </c>
      <c r="K54" s="90">
        <v>6959</v>
      </c>
      <c r="L54" s="77"/>
      <c r="M54" s="87">
        <v>346</v>
      </c>
      <c r="N54" s="87">
        <v>41</v>
      </c>
      <c r="O54" s="92">
        <v>15</v>
      </c>
      <c r="P54" s="91">
        <v>20</v>
      </c>
      <c r="Q54" s="91">
        <v>0</v>
      </c>
      <c r="R54" s="27"/>
      <c r="S54" s="23"/>
      <c r="T54" s="23"/>
      <c r="U54" s="23"/>
      <c r="V54" s="23"/>
      <c r="W54" s="23"/>
      <c r="X54" s="23"/>
      <c r="Y54" s="23"/>
      <c r="Z54" s="24"/>
      <c r="AA54" s="24"/>
    </row>
    <row r="55" spans="1:27" ht="15.75" customHeight="1" x14ac:dyDescent="0.2">
      <c r="A55" s="28"/>
      <c r="B55" s="28" t="s">
        <v>66</v>
      </c>
      <c r="C55" s="61">
        <v>247</v>
      </c>
      <c r="D55" s="87">
        <v>32</v>
      </c>
      <c r="E55" s="87">
        <v>22</v>
      </c>
      <c r="F55" s="87">
        <v>313</v>
      </c>
      <c r="G55" s="89">
        <v>17917</v>
      </c>
      <c r="H55" s="26"/>
      <c r="I55" s="61">
        <v>0</v>
      </c>
      <c r="J55" s="87">
        <v>22</v>
      </c>
      <c r="K55" s="90">
        <v>43483</v>
      </c>
      <c r="L55" s="77"/>
      <c r="M55" s="87">
        <v>893</v>
      </c>
      <c r="N55" s="87">
        <v>33</v>
      </c>
      <c r="O55" s="91">
        <v>67</v>
      </c>
      <c r="P55" s="91">
        <v>61</v>
      </c>
      <c r="Q55" s="91">
        <v>0</v>
      </c>
      <c r="R55" s="27"/>
      <c r="S55" s="23"/>
      <c r="T55" s="23"/>
      <c r="U55" s="23"/>
      <c r="V55" s="23"/>
      <c r="W55" s="23"/>
      <c r="X55" s="23"/>
      <c r="Y55" s="23"/>
      <c r="Z55" s="24"/>
      <c r="AA55" s="24"/>
    </row>
    <row r="56" spans="1:27" ht="15.75" customHeight="1" x14ac:dyDescent="0.2">
      <c r="A56" s="28"/>
      <c r="B56" s="28" t="s">
        <v>67</v>
      </c>
      <c r="C56" s="61">
        <v>180</v>
      </c>
      <c r="D56" s="87">
        <v>64</v>
      </c>
      <c r="E56" s="87">
        <v>25</v>
      </c>
      <c r="F56" s="87">
        <v>139</v>
      </c>
      <c r="G56" s="89">
        <v>5239</v>
      </c>
      <c r="H56" s="26"/>
      <c r="I56" s="61">
        <v>3</v>
      </c>
      <c r="J56" s="87">
        <v>238</v>
      </c>
      <c r="K56" s="90">
        <v>20592</v>
      </c>
      <c r="L56" s="77"/>
      <c r="M56" s="87">
        <v>449</v>
      </c>
      <c r="N56" s="61">
        <v>22</v>
      </c>
      <c r="O56" s="92">
        <v>30</v>
      </c>
      <c r="P56" s="91">
        <v>137</v>
      </c>
      <c r="Q56" s="91">
        <v>0</v>
      </c>
      <c r="R56" s="27"/>
      <c r="S56" s="23"/>
      <c r="T56" s="23"/>
      <c r="U56" s="23"/>
      <c r="V56" s="23"/>
      <c r="W56" s="23"/>
      <c r="X56" s="23"/>
      <c r="Y56" s="23"/>
      <c r="Z56" s="24"/>
      <c r="AA56" s="24"/>
    </row>
    <row r="57" spans="1:27" ht="15.75" customHeight="1" x14ac:dyDescent="0.2">
      <c r="A57" s="30" t="s">
        <v>100</v>
      </c>
      <c r="B57" s="20"/>
      <c r="C57" s="38">
        <f t="shared" ref="C57:P57" si="9">SUM(C58:C68)</f>
        <v>14339</v>
      </c>
      <c r="D57" s="38">
        <f t="shared" si="9"/>
        <v>2775</v>
      </c>
      <c r="E57" s="38">
        <f t="shared" si="9"/>
        <v>1259</v>
      </c>
      <c r="F57" s="38">
        <f t="shared" si="9"/>
        <v>5372</v>
      </c>
      <c r="G57" s="38">
        <f t="shared" si="9"/>
        <v>14379</v>
      </c>
      <c r="H57" s="38">
        <f t="shared" si="9"/>
        <v>0</v>
      </c>
      <c r="I57" s="38">
        <f t="shared" si="9"/>
        <v>18</v>
      </c>
      <c r="J57" s="38">
        <f t="shared" si="9"/>
        <v>2516</v>
      </c>
      <c r="K57" s="38">
        <f t="shared" si="9"/>
        <v>1115896</v>
      </c>
      <c r="L57" s="38">
        <f t="shared" si="9"/>
        <v>255649</v>
      </c>
      <c r="M57" s="38">
        <f t="shared" si="9"/>
        <v>66779</v>
      </c>
      <c r="N57" s="38">
        <f t="shared" si="9"/>
        <v>4029</v>
      </c>
      <c r="O57" s="38">
        <f t="shared" si="9"/>
        <v>3478</v>
      </c>
      <c r="P57" s="38">
        <f t="shared" si="9"/>
        <v>0</v>
      </c>
      <c r="Q57" s="38"/>
      <c r="R57" s="53" t="s">
        <v>107</v>
      </c>
      <c r="S57" s="23"/>
      <c r="T57" s="23"/>
      <c r="U57" s="23"/>
      <c r="V57" s="23"/>
      <c r="W57" s="23"/>
      <c r="X57" s="23"/>
      <c r="Y57" s="23"/>
      <c r="Z57" s="24"/>
      <c r="AA57" s="24"/>
    </row>
    <row r="58" spans="1:27" ht="15.75" customHeight="1" x14ac:dyDescent="0.2">
      <c r="A58" s="28"/>
      <c r="B58" s="28" t="s">
        <v>68</v>
      </c>
      <c r="C58" s="26">
        <v>6945</v>
      </c>
      <c r="D58" s="26">
        <v>483</v>
      </c>
      <c r="E58" s="26">
        <v>62</v>
      </c>
      <c r="F58" s="26">
        <v>187</v>
      </c>
      <c r="G58" s="26">
        <v>1210</v>
      </c>
      <c r="H58" s="34"/>
      <c r="I58" s="34"/>
      <c r="J58" s="26">
        <v>145</v>
      </c>
      <c r="K58" s="34"/>
      <c r="L58" s="26">
        <v>16213</v>
      </c>
      <c r="M58" s="26">
        <v>3400</v>
      </c>
      <c r="N58" s="34"/>
      <c r="O58" s="34"/>
      <c r="P58" s="34"/>
      <c r="Q58" s="34"/>
      <c r="R58" s="79"/>
      <c r="S58" s="23"/>
      <c r="T58" s="23"/>
      <c r="U58" s="23"/>
      <c r="V58" s="23"/>
      <c r="W58" s="23"/>
      <c r="X58" s="23"/>
      <c r="Y58" s="23"/>
      <c r="Z58" s="24"/>
      <c r="AA58" s="24"/>
    </row>
    <row r="59" spans="1:27" ht="15.75" customHeight="1" x14ac:dyDescent="0.2">
      <c r="A59" s="28"/>
      <c r="B59" s="28" t="s">
        <v>69</v>
      </c>
      <c r="C59" s="26">
        <v>1312</v>
      </c>
      <c r="D59" s="26">
        <v>654</v>
      </c>
      <c r="E59" s="26">
        <v>175</v>
      </c>
      <c r="F59" s="26">
        <v>1325</v>
      </c>
      <c r="G59" s="26">
        <v>321</v>
      </c>
      <c r="H59" s="34"/>
      <c r="I59" s="34"/>
      <c r="J59" s="34"/>
      <c r="K59" s="26">
        <v>825750</v>
      </c>
      <c r="L59" s="26">
        <v>10612</v>
      </c>
      <c r="M59" s="26">
        <v>8532</v>
      </c>
      <c r="N59" s="26">
        <v>195</v>
      </c>
      <c r="O59" s="26">
        <v>179</v>
      </c>
      <c r="P59" s="34"/>
      <c r="Q59" s="34"/>
      <c r="R59" s="79"/>
      <c r="S59" s="35"/>
      <c r="T59" s="23"/>
      <c r="U59" s="23"/>
      <c r="V59" s="23"/>
      <c r="W59" s="23"/>
      <c r="X59" s="23"/>
      <c r="Y59" s="23"/>
      <c r="Z59" s="24"/>
      <c r="AA59" s="24"/>
    </row>
    <row r="60" spans="1:27" ht="15.75" customHeight="1" x14ac:dyDescent="0.2">
      <c r="A60" s="28"/>
      <c r="B60" s="28" t="s">
        <v>70</v>
      </c>
      <c r="C60" s="26"/>
      <c r="D60" s="26">
        <v>20</v>
      </c>
      <c r="E60" s="36"/>
      <c r="F60" s="26">
        <v>79</v>
      </c>
      <c r="G60" s="26">
        <v>356</v>
      </c>
      <c r="H60" s="34"/>
      <c r="I60" s="34"/>
      <c r="J60" s="34"/>
      <c r="K60" s="34"/>
      <c r="L60" s="26">
        <v>12512</v>
      </c>
      <c r="M60" s="26">
        <v>3432</v>
      </c>
      <c r="N60" s="34"/>
      <c r="O60" s="34"/>
      <c r="P60" s="34"/>
      <c r="Q60" s="34"/>
      <c r="R60" s="79"/>
      <c r="S60" s="23"/>
      <c r="T60" s="23"/>
      <c r="U60" s="23"/>
      <c r="V60" s="23"/>
      <c r="W60" s="23"/>
      <c r="X60" s="23"/>
      <c r="Y60" s="23"/>
      <c r="Z60" s="24"/>
      <c r="AA60" s="24"/>
    </row>
    <row r="61" spans="1:27" ht="15.75" customHeight="1" x14ac:dyDescent="0.2">
      <c r="A61" s="28"/>
      <c r="B61" s="28" t="s">
        <v>71</v>
      </c>
      <c r="C61" s="26">
        <v>20</v>
      </c>
      <c r="D61" s="26">
        <v>51</v>
      </c>
      <c r="E61" s="34">
        <v>14</v>
      </c>
      <c r="F61" s="34">
        <v>97</v>
      </c>
      <c r="G61" s="26">
        <v>904</v>
      </c>
      <c r="H61" s="34"/>
      <c r="I61" s="34">
        <v>2</v>
      </c>
      <c r="J61" s="26">
        <v>292</v>
      </c>
      <c r="K61" s="26">
        <v>1556</v>
      </c>
      <c r="L61" s="26">
        <v>25953</v>
      </c>
      <c r="M61" s="26">
        <v>2477</v>
      </c>
      <c r="N61" s="26">
        <v>87</v>
      </c>
      <c r="O61" s="26"/>
      <c r="P61" s="34"/>
      <c r="Q61" s="34"/>
      <c r="R61" s="79"/>
      <c r="S61" s="23"/>
      <c r="T61" s="23"/>
      <c r="U61" s="23"/>
      <c r="V61" s="23"/>
      <c r="W61" s="23"/>
      <c r="X61" s="23"/>
      <c r="Y61" s="23"/>
      <c r="Z61" s="24"/>
      <c r="AA61" s="24"/>
    </row>
    <row r="62" spans="1:27" ht="15.75" customHeight="1" x14ac:dyDescent="0.2">
      <c r="A62" s="28"/>
      <c r="B62" s="28" t="s">
        <v>72</v>
      </c>
      <c r="C62" s="26">
        <v>2</v>
      </c>
      <c r="D62" s="26">
        <v>12</v>
      </c>
      <c r="E62" s="26"/>
      <c r="F62" s="26">
        <v>41</v>
      </c>
      <c r="G62" s="26">
        <v>220</v>
      </c>
      <c r="H62" s="26"/>
      <c r="I62" s="34"/>
      <c r="J62" s="26">
        <v>34</v>
      </c>
      <c r="K62" s="34">
        <v>1500</v>
      </c>
      <c r="L62" s="26">
        <v>21916</v>
      </c>
      <c r="M62" s="26">
        <v>4079</v>
      </c>
      <c r="N62" s="26"/>
      <c r="O62" s="26">
        <v>179</v>
      </c>
      <c r="P62" s="34"/>
      <c r="Q62" s="34"/>
      <c r="R62" s="79"/>
      <c r="S62" s="23"/>
      <c r="T62" s="23"/>
      <c r="U62" s="23"/>
      <c r="V62" s="23"/>
      <c r="W62" s="23"/>
      <c r="X62" s="23"/>
      <c r="Y62" s="23"/>
      <c r="Z62" s="24"/>
      <c r="AA62" s="24"/>
    </row>
    <row r="63" spans="1:27" ht="15.75" customHeight="1" x14ac:dyDescent="0.2">
      <c r="A63" s="28"/>
      <c r="B63" s="28" t="s">
        <v>73</v>
      </c>
      <c r="C63" s="34"/>
      <c r="D63" s="26">
        <v>11</v>
      </c>
      <c r="E63" s="26"/>
      <c r="F63" s="26">
        <v>35</v>
      </c>
      <c r="G63" s="26">
        <v>654</v>
      </c>
      <c r="H63" s="34"/>
      <c r="I63" s="34"/>
      <c r="J63" s="26">
        <v>100</v>
      </c>
      <c r="K63" s="34"/>
      <c r="L63" s="26">
        <v>18910</v>
      </c>
      <c r="M63" s="26">
        <v>2150</v>
      </c>
      <c r="N63" s="34"/>
      <c r="O63" s="26"/>
      <c r="P63" s="34"/>
      <c r="Q63" s="34"/>
      <c r="R63" s="79"/>
      <c r="S63" s="23"/>
      <c r="T63" s="23"/>
      <c r="U63" s="23"/>
      <c r="V63" s="23"/>
      <c r="W63" s="23"/>
      <c r="X63" s="23"/>
      <c r="Y63" s="23"/>
      <c r="Z63" s="24"/>
      <c r="AA63" s="24"/>
    </row>
    <row r="64" spans="1:27" ht="15.75" customHeight="1" x14ac:dyDescent="0.2">
      <c r="A64" s="28"/>
      <c r="B64" s="28" t="s">
        <v>74</v>
      </c>
      <c r="C64" s="26">
        <v>2</v>
      </c>
      <c r="D64" s="26">
        <v>47</v>
      </c>
      <c r="E64" s="26">
        <v>42</v>
      </c>
      <c r="F64" s="26">
        <v>136</v>
      </c>
      <c r="G64" s="26">
        <v>523</v>
      </c>
      <c r="H64" s="34"/>
      <c r="I64" s="34"/>
      <c r="J64" s="26">
        <v>218</v>
      </c>
      <c r="K64" s="34"/>
      <c r="L64" s="26">
        <v>16311</v>
      </c>
      <c r="M64" s="26">
        <v>4725</v>
      </c>
      <c r="N64" s="26">
        <v>168</v>
      </c>
      <c r="O64" s="26"/>
      <c r="P64" s="34"/>
      <c r="Q64" s="34"/>
      <c r="R64" s="79"/>
      <c r="S64" s="23"/>
      <c r="T64" s="23"/>
      <c r="U64" s="23"/>
      <c r="V64" s="23"/>
      <c r="W64" s="23"/>
      <c r="X64" s="23"/>
      <c r="Y64" s="23"/>
      <c r="Z64" s="24"/>
      <c r="AA64" s="24"/>
    </row>
    <row r="65" spans="1:27" ht="15.75" customHeight="1" x14ac:dyDescent="0.2">
      <c r="A65" s="28"/>
      <c r="B65" s="28" t="s">
        <v>75</v>
      </c>
      <c r="C65" s="26">
        <v>2545</v>
      </c>
      <c r="D65" s="26">
        <v>456</v>
      </c>
      <c r="E65" s="26">
        <v>45</v>
      </c>
      <c r="F65" s="26">
        <v>566</v>
      </c>
      <c r="G65" s="26">
        <v>2723</v>
      </c>
      <c r="H65" s="34"/>
      <c r="I65" s="34"/>
      <c r="J65" s="34"/>
      <c r="K65" s="34"/>
      <c r="L65" s="26">
        <v>23305</v>
      </c>
      <c r="M65" s="26">
        <v>3574</v>
      </c>
      <c r="N65" s="26">
        <v>540</v>
      </c>
      <c r="O65" s="34">
        <v>187</v>
      </c>
      <c r="P65" s="34"/>
      <c r="Q65" s="34"/>
      <c r="R65" s="79"/>
      <c r="S65" s="23"/>
      <c r="T65" s="23"/>
      <c r="U65" s="23"/>
      <c r="V65" s="23"/>
      <c r="W65" s="23"/>
      <c r="X65" s="23"/>
      <c r="Y65" s="23"/>
      <c r="Z65" s="24"/>
      <c r="AA65" s="24"/>
    </row>
    <row r="66" spans="1:27" ht="15.75" customHeight="1" x14ac:dyDescent="0.2">
      <c r="A66" s="28"/>
      <c r="B66" s="28" t="s">
        <v>76</v>
      </c>
      <c r="C66" s="26">
        <v>2713</v>
      </c>
      <c r="D66" s="26">
        <v>879</v>
      </c>
      <c r="E66" s="26">
        <v>891</v>
      </c>
      <c r="F66" s="26">
        <v>2712</v>
      </c>
      <c r="G66" s="26">
        <v>5830</v>
      </c>
      <c r="H66" s="34"/>
      <c r="I66" s="34">
        <v>16</v>
      </c>
      <c r="J66" s="26">
        <v>1100</v>
      </c>
      <c r="K66" s="26">
        <v>278500</v>
      </c>
      <c r="L66" s="26">
        <v>78552</v>
      </c>
      <c r="M66" s="26">
        <v>29075</v>
      </c>
      <c r="N66" s="26">
        <v>2752</v>
      </c>
      <c r="O66" s="26">
        <v>2596</v>
      </c>
      <c r="P66" s="34"/>
      <c r="Q66" s="34"/>
      <c r="R66" s="79"/>
      <c r="S66" s="23"/>
      <c r="T66" s="23"/>
      <c r="U66" s="23"/>
      <c r="V66" s="23"/>
      <c r="W66" s="23"/>
      <c r="X66" s="23"/>
      <c r="Y66" s="23"/>
      <c r="Z66" s="24"/>
      <c r="AA66" s="24"/>
    </row>
    <row r="67" spans="1:27" ht="15.75" customHeight="1" x14ac:dyDescent="0.2">
      <c r="A67" s="28"/>
      <c r="B67" s="28" t="s">
        <v>77</v>
      </c>
      <c r="C67" s="26">
        <v>750</v>
      </c>
      <c r="D67" s="26">
        <v>130</v>
      </c>
      <c r="E67" s="26"/>
      <c r="F67" s="26">
        <v>119</v>
      </c>
      <c r="G67" s="26">
        <v>984</v>
      </c>
      <c r="H67" s="26"/>
      <c r="I67" s="34"/>
      <c r="J67" s="26">
        <v>138</v>
      </c>
      <c r="K67" s="26"/>
      <c r="L67" s="26">
        <v>26150</v>
      </c>
      <c r="M67" s="26">
        <v>1850</v>
      </c>
      <c r="N67" s="34"/>
      <c r="O67" s="26">
        <v>175</v>
      </c>
      <c r="P67" s="34"/>
      <c r="Q67" s="34"/>
      <c r="R67" s="79"/>
      <c r="S67" s="23"/>
      <c r="T67" s="23"/>
      <c r="U67" s="23"/>
      <c r="V67" s="23"/>
      <c r="W67" s="23"/>
      <c r="X67" s="23"/>
      <c r="Y67" s="23"/>
      <c r="Z67" s="24"/>
      <c r="AA67" s="24"/>
    </row>
    <row r="68" spans="1:27" ht="15.75" customHeight="1" x14ac:dyDescent="0.2">
      <c r="A68" s="28"/>
      <c r="B68" s="28" t="s">
        <v>78</v>
      </c>
      <c r="C68" s="26">
        <v>50</v>
      </c>
      <c r="D68" s="26">
        <v>32</v>
      </c>
      <c r="E68" s="26">
        <v>30</v>
      </c>
      <c r="F68" s="26">
        <v>75</v>
      </c>
      <c r="G68" s="26">
        <v>654</v>
      </c>
      <c r="H68" s="34"/>
      <c r="I68" s="34"/>
      <c r="J68" s="26">
        <v>489</v>
      </c>
      <c r="K68" s="26">
        <v>8590</v>
      </c>
      <c r="L68" s="26">
        <v>5215</v>
      </c>
      <c r="M68" s="26">
        <v>3485</v>
      </c>
      <c r="N68" s="26">
        <v>287</v>
      </c>
      <c r="O68" s="26">
        <v>162</v>
      </c>
      <c r="P68" s="34"/>
      <c r="Q68" s="34"/>
      <c r="R68" s="79"/>
      <c r="S68" s="23"/>
      <c r="T68" s="23"/>
      <c r="U68" s="23"/>
      <c r="V68" s="23"/>
      <c r="W68" s="23"/>
      <c r="X68" s="23"/>
      <c r="Y68" s="23"/>
      <c r="Z68" s="24"/>
      <c r="AA68" s="24"/>
    </row>
    <row r="69" spans="1:27" ht="15.75" customHeight="1" x14ac:dyDescent="0.2">
      <c r="A69" s="30" t="s">
        <v>99</v>
      </c>
      <c r="B69" s="30"/>
      <c r="C69" s="80">
        <f t="shared" ref="C69:K69" si="10">SUM(C70:C77)</f>
        <v>0</v>
      </c>
      <c r="D69" s="80">
        <f t="shared" si="10"/>
        <v>0</v>
      </c>
      <c r="E69" s="80">
        <f t="shared" si="10"/>
        <v>0</v>
      </c>
      <c r="F69" s="80">
        <f t="shared" si="10"/>
        <v>0</v>
      </c>
      <c r="G69" s="80">
        <f t="shared" si="10"/>
        <v>0</v>
      </c>
      <c r="H69" s="80">
        <f t="shared" si="10"/>
        <v>0</v>
      </c>
      <c r="I69" s="80">
        <f t="shared" si="10"/>
        <v>0</v>
      </c>
      <c r="J69" s="80">
        <f t="shared" si="10"/>
        <v>0</v>
      </c>
      <c r="K69" s="106">
        <f t="shared" si="10"/>
        <v>0</v>
      </c>
      <c r="L69" s="99"/>
      <c r="M69" s="80">
        <f t="shared" ref="M69:P69" si="11">SUM(M70:M77)</f>
        <v>0</v>
      </c>
      <c r="N69" s="80">
        <f t="shared" si="11"/>
        <v>0</v>
      </c>
      <c r="O69" s="80">
        <f t="shared" si="11"/>
        <v>0</v>
      </c>
      <c r="P69" s="80">
        <f t="shared" si="11"/>
        <v>0</v>
      </c>
      <c r="Q69" s="80"/>
      <c r="R69" s="62" t="s">
        <v>108</v>
      </c>
      <c r="S69" s="48"/>
      <c r="T69" s="48"/>
      <c r="U69" s="48"/>
      <c r="V69" s="48"/>
      <c r="W69" s="48"/>
      <c r="X69" s="48"/>
      <c r="Y69" s="48"/>
      <c r="Z69" s="50"/>
      <c r="AA69" s="50"/>
    </row>
    <row r="70" spans="1:27" ht="15.75" customHeight="1" x14ac:dyDescent="0.3">
      <c r="A70" s="28"/>
      <c r="B70" s="28" t="s">
        <v>79</v>
      </c>
      <c r="C70" s="63"/>
      <c r="D70" s="63"/>
      <c r="E70" s="63"/>
      <c r="F70" s="63"/>
      <c r="G70" s="63"/>
      <c r="H70" s="64"/>
      <c r="I70" s="63"/>
      <c r="J70" s="63"/>
      <c r="K70" s="107"/>
      <c r="L70" s="99"/>
      <c r="M70" s="63"/>
      <c r="N70" s="63"/>
      <c r="O70" s="63"/>
      <c r="P70" s="37"/>
      <c r="Q70" s="37"/>
      <c r="R70" s="27"/>
      <c r="S70" s="23"/>
      <c r="T70" s="23"/>
      <c r="U70" s="23"/>
      <c r="V70" s="23"/>
      <c r="W70" s="23"/>
      <c r="X70" s="23"/>
      <c r="Y70" s="23"/>
      <c r="Z70" s="24"/>
      <c r="AA70" s="24"/>
    </row>
    <row r="71" spans="1:27" ht="15.75" customHeight="1" x14ac:dyDescent="0.3">
      <c r="A71" s="28"/>
      <c r="B71" s="28" t="s">
        <v>81</v>
      </c>
      <c r="C71" s="63"/>
      <c r="D71" s="63"/>
      <c r="E71" s="63"/>
      <c r="F71" s="63"/>
      <c r="G71" s="63"/>
      <c r="H71" s="63"/>
      <c r="I71" s="63"/>
      <c r="J71" s="63"/>
      <c r="K71" s="108"/>
      <c r="L71" s="105"/>
      <c r="M71" s="65"/>
      <c r="N71" s="65"/>
      <c r="O71" s="66"/>
      <c r="P71" s="37"/>
      <c r="Q71" s="37"/>
      <c r="R71" s="60"/>
      <c r="S71" s="23"/>
      <c r="T71" s="23"/>
      <c r="U71" s="23"/>
      <c r="V71" s="23"/>
      <c r="W71" s="23"/>
      <c r="X71" s="23"/>
      <c r="Y71" s="23"/>
      <c r="Z71" s="24"/>
      <c r="AA71" s="24"/>
    </row>
    <row r="72" spans="1:27" ht="15.75" customHeight="1" x14ac:dyDescent="0.3">
      <c r="A72" s="28"/>
      <c r="B72" s="28" t="s">
        <v>82</v>
      </c>
      <c r="C72" s="63"/>
      <c r="D72" s="63"/>
      <c r="E72" s="63"/>
      <c r="F72" s="63"/>
      <c r="G72" s="63"/>
      <c r="H72" s="63"/>
      <c r="I72" s="63"/>
      <c r="J72" s="63"/>
      <c r="K72" s="108"/>
      <c r="L72" s="105"/>
      <c r="M72" s="65"/>
      <c r="N72" s="65"/>
      <c r="O72" s="66"/>
      <c r="P72" s="37"/>
      <c r="Q72" s="37"/>
      <c r="R72" s="27"/>
      <c r="S72" s="23"/>
      <c r="T72" s="23"/>
      <c r="U72" s="23"/>
      <c r="V72" s="23"/>
      <c r="W72" s="23"/>
      <c r="X72" s="23"/>
      <c r="Y72" s="23"/>
      <c r="Z72" s="24"/>
      <c r="AA72" s="24"/>
    </row>
    <row r="73" spans="1:27" ht="15.75" customHeight="1" x14ac:dyDescent="0.3">
      <c r="A73" s="28"/>
      <c r="B73" s="28" t="s">
        <v>83</v>
      </c>
      <c r="C73" s="63"/>
      <c r="D73" s="63"/>
      <c r="E73" s="63"/>
      <c r="F73" s="63"/>
      <c r="G73" s="63"/>
      <c r="H73" s="63"/>
      <c r="I73" s="63"/>
      <c r="J73" s="63"/>
      <c r="K73" s="108"/>
      <c r="L73" s="105"/>
      <c r="M73" s="65"/>
      <c r="N73" s="65"/>
      <c r="O73" s="66"/>
      <c r="P73" s="37"/>
      <c r="Q73" s="37"/>
      <c r="R73" s="27"/>
      <c r="S73" s="23"/>
      <c r="T73" s="23"/>
      <c r="U73" s="23"/>
      <c r="V73" s="23"/>
      <c r="W73" s="23"/>
      <c r="X73" s="23"/>
      <c r="Y73" s="23"/>
      <c r="Z73" s="24"/>
      <c r="AA73" s="24"/>
    </row>
    <row r="74" spans="1:27" ht="15.75" customHeight="1" x14ac:dyDescent="0.3">
      <c r="A74" s="28"/>
      <c r="B74" s="28" t="s">
        <v>84</v>
      </c>
      <c r="C74" s="67"/>
      <c r="D74" s="67"/>
      <c r="E74" s="67"/>
      <c r="F74" s="67"/>
      <c r="G74" s="67"/>
      <c r="H74" s="67"/>
      <c r="I74" s="67"/>
      <c r="J74" s="67"/>
      <c r="K74" s="109"/>
      <c r="L74" s="105"/>
      <c r="M74" s="68"/>
      <c r="N74" s="68"/>
      <c r="O74" s="69"/>
      <c r="P74" s="37"/>
      <c r="Q74" s="37"/>
      <c r="R74" s="60"/>
      <c r="S74" s="23"/>
      <c r="T74" s="23"/>
      <c r="U74" s="23"/>
      <c r="V74" s="23"/>
      <c r="W74" s="23"/>
      <c r="X74" s="23"/>
      <c r="Y74" s="23"/>
      <c r="Z74" s="24"/>
      <c r="AA74" s="24"/>
    </row>
    <row r="75" spans="1:27" ht="15.75" customHeight="1" x14ac:dyDescent="0.3">
      <c r="A75" s="28"/>
      <c r="B75" s="28" t="s">
        <v>85</v>
      </c>
      <c r="C75" s="63"/>
      <c r="D75" s="63"/>
      <c r="E75" s="63"/>
      <c r="F75" s="63"/>
      <c r="G75" s="66"/>
      <c r="H75" s="66"/>
      <c r="I75" s="63"/>
      <c r="J75" s="63"/>
      <c r="K75" s="108"/>
      <c r="L75" s="105"/>
      <c r="M75" s="65"/>
      <c r="N75" s="65"/>
      <c r="O75" s="66"/>
      <c r="P75" s="37"/>
      <c r="Q75" s="37"/>
      <c r="R75" s="27"/>
      <c r="S75" s="23"/>
      <c r="T75" s="23"/>
      <c r="U75" s="23"/>
      <c r="V75" s="23"/>
      <c r="W75" s="23"/>
      <c r="X75" s="23"/>
      <c r="Y75" s="23"/>
      <c r="Z75" s="24"/>
      <c r="AA75" s="24"/>
    </row>
    <row r="76" spans="1:27" ht="15.75" customHeight="1" x14ac:dyDescent="0.3">
      <c r="A76" s="28"/>
      <c r="B76" s="28" t="s">
        <v>86</v>
      </c>
      <c r="C76" s="67"/>
      <c r="D76" s="67"/>
      <c r="E76" s="67"/>
      <c r="F76" s="67"/>
      <c r="G76" s="63"/>
      <c r="H76" s="63"/>
      <c r="I76" s="67"/>
      <c r="J76" s="67"/>
      <c r="K76" s="110"/>
      <c r="L76" s="99"/>
      <c r="M76" s="67"/>
      <c r="N76" s="67"/>
      <c r="O76" s="67"/>
      <c r="P76" s="37"/>
      <c r="Q76" s="37"/>
      <c r="R76" s="27"/>
      <c r="S76" s="23"/>
      <c r="T76" s="23"/>
      <c r="U76" s="23"/>
      <c r="V76" s="23"/>
      <c r="W76" s="23"/>
      <c r="X76" s="23"/>
      <c r="Y76" s="23"/>
      <c r="Z76" s="24"/>
      <c r="AA76" s="24"/>
    </row>
    <row r="77" spans="1:27" ht="15.75" customHeight="1" x14ac:dyDescent="0.3">
      <c r="A77" s="28"/>
      <c r="B77" s="28" t="s">
        <v>80</v>
      </c>
      <c r="C77" s="65"/>
      <c r="D77" s="66"/>
      <c r="E77" s="66"/>
      <c r="F77" s="66"/>
      <c r="G77" s="67"/>
      <c r="H77" s="67"/>
      <c r="I77" s="66"/>
      <c r="J77" s="66"/>
      <c r="K77" s="108"/>
      <c r="L77" s="105"/>
      <c r="M77" s="65"/>
      <c r="N77" s="66"/>
      <c r="O77" s="66"/>
      <c r="P77" s="37"/>
      <c r="Q77" s="37"/>
      <c r="R77" s="33"/>
      <c r="S77" s="23"/>
      <c r="T77" s="23"/>
      <c r="U77" s="23"/>
      <c r="V77" s="23"/>
      <c r="W77" s="23"/>
      <c r="X77" s="23"/>
      <c r="Y77" s="23"/>
      <c r="Z77" s="24"/>
      <c r="AA77" s="24"/>
    </row>
    <row r="78" spans="1:27" ht="15.75" customHeight="1" x14ac:dyDescent="0.2">
      <c r="A78" s="30" t="s">
        <v>87</v>
      </c>
      <c r="B78" s="20"/>
      <c r="C78" s="80">
        <f t="shared" ref="C78:G78" si="12">SUM(C79:C88)</f>
        <v>5121</v>
      </c>
      <c r="D78" s="80">
        <f t="shared" si="12"/>
        <v>4289</v>
      </c>
      <c r="E78" s="80">
        <f t="shared" si="12"/>
        <v>93</v>
      </c>
      <c r="F78" s="80">
        <f t="shared" si="12"/>
        <v>3097</v>
      </c>
      <c r="G78" s="106">
        <f t="shared" si="12"/>
        <v>35578</v>
      </c>
      <c r="H78" s="99"/>
      <c r="I78" s="80">
        <f t="shared" ref="I78:K78" si="13">SUM(I79:I88)</f>
        <v>31</v>
      </c>
      <c r="J78" s="80">
        <f t="shared" si="13"/>
        <v>870</v>
      </c>
      <c r="K78" s="106">
        <f t="shared" si="13"/>
        <v>183354</v>
      </c>
      <c r="L78" s="99"/>
      <c r="M78" s="80">
        <f t="shared" ref="M78:P78" si="14">SUM(M79:M88)</f>
        <v>17827</v>
      </c>
      <c r="N78" s="80">
        <f t="shared" si="14"/>
        <v>1352</v>
      </c>
      <c r="O78" s="80">
        <f t="shared" si="14"/>
        <v>1297</v>
      </c>
      <c r="P78" s="80">
        <f t="shared" si="14"/>
        <v>212</v>
      </c>
      <c r="Q78" s="80"/>
      <c r="R78" s="22" t="s">
        <v>110</v>
      </c>
      <c r="S78" s="23"/>
      <c r="T78" s="23"/>
      <c r="U78" s="23"/>
      <c r="V78" s="23"/>
      <c r="W78" s="23"/>
      <c r="X78" s="23"/>
      <c r="Y78" s="23"/>
      <c r="Z78" s="24"/>
      <c r="AA78" s="24"/>
    </row>
    <row r="79" spans="1:27" ht="15.75" customHeight="1" x14ac:dyDescent="0.2">
      <c r="A79" s="28"/>
      <c r="B79" s="28" t="s">
        <v>88</v>
      </c>
      <c r="C79" s="51">
        <v>3</v>
      </c>
      <c r="D79" s="51">
        <v>15</v>
      </c>
      <c r="E79" s="61"/>
      <c r="F79" s="51">
        <v>4</v>
      </c>
      <c r="G79" s="51">
        <v>702</v>
      </c>
      <c r="H79" s="93"/>
      <c r="I79" s="61"/>
      <c r="J79" s="51">
        <v>5</v>
      </c>
      <c r="K79" s="52">
        <v>3107</v>
      </c>
      <c r="L79" s="93"/>
      <c r="M79" s="51">
        <v>486</v>
      </c>
      <c r="N79" s="61">
        <v>3</v>
      </c>
      <c r="O79" s="51">
        <v>9</v>
      </c>
      <c r="P79" s="61"/>
      <c r="Q79" s="61"/>
      <c r="R79" s="27" t="s">
        <v>113</v>
      </c>
      <c r="S79" s="23"/>
      <c r="T79" s="23"/>
      <c r="U79" s="23"/>
      <c r="V79" s="23"/>
      <c r="W79" s="23"/>
      <c r="X79" s="23"/>
      <c r="Y79" s="23"/>
      <c r="Z79" s="24"/>
      <c r="AA79" s="24"/>
    </row>
    <row r="80" spans="1:27" ht="15.75" customHeight="1" x14ac:dyDescent="0.2">
      <c r="A80" s="28"/>
      <c r="B80" s="28" t="s">
        <v>89</v>
      </c>
      <c r="C80" s="61">
        <v>260</v>
      </c>
      <c r="D80" s="51">
        <v>27</v>
      </c>
      <c r="E80" s="61"/>
      <c r="F80" s="51">
        <v>15</v>
      </c>
      <c r="G80" s="51">
        <v>2015</v>
      </c>
      <c r="H80" s="93"/>
      <c r="I80" s="61"/>
      <c r="J80" s="51">
        <v>98</v>
      </c>
      <c r="K80" s="81">
        <v>15165</v>
      </c>
      <c r="L80" s="94"/>
      <c r="M80" s="51">
        <v>400</v>
      </c>
      <c r="N80" s="51">
        <v>25</v>
      </c>
      <c r="O80" s="51">
        <v>75</v>
      </c>
      <c r="P80" s="61"/>
      <c r="Q80" s="61"/>
      <c r="R80" s="27" t="s">
        <v>113</v>
      </c>
      <c r="S80" s="23"/>
      <c r="T80" s="23"/>
      <c r="U80" s="23"/>
      <c r="V80" s="23"/>
      <c r="W80" s="23"/>
      <c r="X80" s="23"/>
      <c r="Y80" s="23"/>
      <c r="Z80" s="24"/>
      <c r="AA80" s="24"/>
    </row>
    <row r="81" spans="1:27" ht="15.75" customHeight="1" x14ac:dyDescent="0.2">
      <c r="A81" s="28"/>
      <c r="B81" s="28" t="s">
        <v>90</v>
      </c>
      <c r="C81" s="51">
        <v>529</v>
      </c>
      <c r="D81" s="51">
        <v>223</v>
      </c>
      <c r="E81" s="61"/>
      <c r="F81" s="51">
        <v>58</v>
      </c>
      <c r="G81" s="51">
        <v>1246</v>
      </c>
      <c r="H81" s="93"/>
      <c r="I81" s="61"/>
      <c r="J81" s="51">
        <v>88</v>
      </c>
      <c r="K81" s="81">
        <v>10841</v>
      </c>
      <c r="L81" s="94"/>
      <c r="M81" s="51">
        <v>368</v>
      </c>
      <c r="N81" s="51">
        <v>0</v>
      </c>
      <c r="O81" s="51">
        <v>31</v>
      </c>
      <c r="P81" s="51">
        <v>13</v>
      </c>
      <c r="Q81" s="51"/>
      <c r="R81" s="27" t="s">
        <v>113</v>
      </c>
      <c r="S81" s="23"/>
      <c r="T81" s="23"/>
      <c r="U81" s="23"/>
      <c r="V81" s="23"/>
      <c r="W81" s="23"/>
      <c r="X81" s="23"/>
      <c r="Y81" s="23"/>
      <c r="Z81" s="24"/>
      <c r="AA81" s="24"/>
    </row>
    <row r="82" spans="1:27" ht="15.75" customHeight="1" x14ac:dyDescent="0.2">
      <c r="A82" s="28"/>
      <c r="B82" s="28" t="s">
        <v>91</v>
      </c>
      <c r="C82" s="61">
        <v>892</v>
      </c>
      <c r="D82" s="51">
        <v>1705</v>
      </c>
      <c r="E82" s="51">
        <v>17</v>
      </c>
      <c r="F82" s="51">
        <v>256</v>
      </c>
      <c r="G82" s="51">
        <v>11121</v>
      </c>
      <c r="H82" s="93"/>
      <c r="I82" s="61"/>
      <c r="J82" s="61"/>
      <c r="K82" s="81">
        <v>33852</v>
      </c>
      <c r="L82" s="94"/>
      <c r="M82" s="51">
        <v>7068</v>
      </c>
      <c r="N82" s="61"/>
      <c r="O82" s="61"/>
      <c r="P82" s="61"/>
      <c r="Q82" s="61"/>
      <c r="R82" s="27" t="s">
        <v>113</v>
      </c>
      <c r="S82" s="23"/>
      <c r="T82" s="23"/>
      <c r="U82" s="23"/>
      <c r="V82" s="23"/>
      <c r="W82" s="23"/>
      <c r="X82" s="23"/>
      <c r="Y82" s="23"/>
      <c r="Z82" s="24"/>
      <c r="AA82" s="24"/>
    </row>
    <row r="83" spans="1:27" ht="15.75" customHeight="1" x14ac:dyDescent="0.2">
      <c r="A83" s="28"/>
      <c r="B83" s="28" t="s">
        <v>92</v>
      </c>
      <c r="C83" s="61">
        <v>20</v>
      </c>
      <c r="D83" s="51">
        <v>58</v>
      </c>
      <c r="E83" s="51">
        <v>0</v>
      </c>
      <c r="F83" s="51">
        <v>140</v>
      </c>
      <c r="G83" s="51">
        <v>3178</v>
      </c>
      <c r="H83" s="93"/>
      <c r="I83" s="61"/>
      <c r="J83" s="51">
        <v>18</v>
      </c>
      <c r="K83" s="81">
        <v>7843</v>
      </c>
      <c r="L83" s="94"/>
      <c r="M83" s="51">
        <v>407</v>
      </c>
      <c r="N83" s="61"/>
      <c r="O83" s="51">
        <v>93</v>
      </c>
      <c r="P83" s="61"/>
      <c r="Q83" s="61"/>
      <c r="R83" s="27" t="s">
        <v>113</v>
      </c>
      <c r="S83" s="23"/>
      <c r="T83" s="23"/>
      <c r="U83" s="23"/>
      <c r="V83" s="23"/>
      <c r="W83" s="23"/>
      <c r="X83" s="23"/>
      <c r="Y83" s="23"/>
      <c r="Z83" s="24"/>
      <c r="AA83" s="24"/>
    </row>
    <row r="84" spans="1:27" ht="15.75" customHeight="1" x14ac:dyDescent="0.2">
      <c r="A84" s="29"/>
      <c r="B84" s="25" t="s">
        <v>93</v>
      </c>
      <c r="C84" s="4">
        <v>1490</v>
      </c>
      <c r="D84" s="4">
        <v>680</v>
      </c>
      <c r="E84" s="4">
        <v>45</v>
      </c>
      <c r="F84" s="4">
        <v>1170</v>
      </c>
      <c r="G84" s="51">
        <v>2290</v>
      </c>
      <c r="H84" s="93"/>
      <c r="I84" s="4">
        <v>27</v>
      </c>
      <c r="J84" s="3"/>
      <c r="K84" s="81">
        <v>20380</v>
      </c>
      <c r="L84" s="94"/>
      <c r="M84" s="4">
        <v>4097</v>
      </c>
      <c r="N84" s="4">
        <v>1270</v>
      </c>
      <c r="O84" s="4">
        <v>823</v>
      </c>
      <c r="P84" s="3"/>
      <c r="Q84" s="3"/>
      <c r="R84" s="27" t="s">
        <v>113</v>
      </c>
      <c r="S84" s="70"/>
      <c r="T84" s="70"/>
      <c r="U84" s="70"/>
      <c r="V84" s="70"/>
      <c r="W84" s="70"/>
      <c r="X84" s="70"/>
      <c r="Y84" s="70"/>
      <c r="Z84" s="70"/>
      <c r="AA84" s="70"/>
    </row>
    <row r="85" spans="1:27" ht="15.75" customHeight="1" x14ac:dyDescent="0.2">
      <c r="A85" s="28"/>
      <c r="B85" s="28" t="s">
        <v>94</v>
      </c>
      <c r="C85" s="51">
        <v>243</v>
      </c>
      <c r="D85" s="51">
        <v>201</v>
      </c>
      <c r="E85" s="61">
        <v>23</v>
      </c>
      <c r="F85" s="51">
        <v>174</v>
      </c>
      <c r="G85" s="51">
        <v>4205</v>
      </c>
      <c r="H85" s="93"/>
      <c r="I85" s="61"/>
      <c r="J85" s="51">
        <v>434</v>
      </c>
      <c r="K85" s="81">
        <v>25510</v>
      </c>
      <c r="L85" s="94"/>
      <c r="M85" s="51">
        <v>2323</v>
      </c>
      <c r="N85" s="61"/>
      <c r="O85" s="61"/>
      <c r="P85" s="51">
        <v>20</v>
      </c>
      <c r="Q85" s="51"/>
      <c r="R85" s="27"/>
      <c r="S85" s="23"/>
      <c r="T85" s="23"/>
      <c r="U85" s="23"/>
      <c r="V85" s="23"/>
      <c r="W85" s="23"/>
      <c r="X85" s="23"/>
      <c r="Y85" s="23"/>
      <c r="Z85" s="24"/>
      <c r="AA85" s="24"/>
    </row>
    <row r="86" spans="1:27" ht="15.75" customHeight="1" x14ac:dyDescent="0.2">
      <c r="A86" s="28"/>
      <c r="B86" s="28" t="s">
        <v>95</v>
      </c>
      <c r="C86" s="51">
        <v>463</v>
      </c>
      <c r="D86" s="51">
        <v>547</v>
      </c>
      <c r="E86" s="61"/>
      <c r="F86" s="51">
        <v>15</v>
      </c>
      <c r="G86" s="51">
        <v>4866</v>
      </c>
      <c r="H86" s="93"/>
      <c r="I86" s="51">
        <v>0</v>
      </c>
      <c r="J86" s="51">
        <v>50</v>
      </c>
      <c r="K86" s="81">
        <v>8021</v>
      </c>
      <c r="L86" s="94"/>
      <c r="M86" s="51">
        <v>389</v>
      </c>
      <c r="N86" s="61"/>
      <c r="O86" s="51">
        <v>47</v>
      </c>
      <c r="P86" s="61"/>
      <c r="Q86" s="61"/>
      <c r="R86" s="27" t="s">
        <v>113</v>
      </c>
      <c r="S86" s="23"/>
      <c r="T86" s="23"/>
      <c r="U86" s="23"/>
      <c r="V86" s="23"/>
      <c r="W86" s="23"/>
      <c r="X86" s="23"/>
      <c r="Y86" s="23"/>
      <c r="Z86" s="24"/>
      <c r="AA86" s="24"/>
    </row>
    <row r="87" spans="1:27" ht="15.75" customHeight="1" x14ac:dyDescent="0.2">
      <c r="A87" s="28"/>
      <c r="B87" s="28" t="s">
        <v>96</v>
      </c>
      <c r="C87" s="51">
        <v>177</v>
      </c>
      <c r="D87" s="51">
        <v>306</v>
      </c>
      <c r="E87" s="51">
        <v>8</v>
      </c>
      <c r="F87" s="51">
        <v>83</v>
      </c>
      <c r="G87" s="51">
        <v>3610</v>
      </c>
      <c r="H87" s="93"/>
      <c r="I87" s="51">
        <v>4</v>
      </c>
      <c r="J87" s="51">
        <v>177</v>
      </c>
      <c r="K87" s="81">
        <v>24313</v>
      </c>
      <c r="L87" s="94"/>
      <c r="M87" s="51">
        <v>1139</v>
      </c>
      <c r="N87" s="51">
        <v>54</v>
      </c>
      <c r="O87" s="51">
        <v>219</v>
      </c>
      <c r="P87" s="51">
        <v>179</v>
      </c>
      <c r="Q87" s="51"/>
      <c r="R87" s="27" t="s">
        <v>113</v>
      </c>
      <c r="S87" s="23"/>
      <c r="T87" s="23"/>
      <c r="U87" s="23"/>
      <c r="V87" s="23"/>
      <c r="W87" s="23"/>
      <c r="X87" s="23"/>
      <c r="Y87" s="23"/>
      <c r="Z87" s="24"/>
      <c r="AA87" s="24"/>
    </row>
    <row r="88" spans="1:27" ht="15.75" customHeight="1" x14ac:dyDescent="0.2">
      <c r="A88" s="28"/>
      <c r="B88" s="28" t="s">
        <v>97</v>
      </c>
      <c r="C88" s="51">
        <v>1044</v>
      </c>
      <c r="D88" s="51">
        <v>527</v>
      </c>
      <c r="E88" s="61"/>
      <c r="F88" s="51">
        <v>1182</v>
      </c>
      <c r="G88" s="51">
        <v>2345</v>
      </c>
      <c r="H88" s="93"/>
      <c r="I88" s="61"/>
      <c r="J88" s="61"/>
      <c r="K88" s="95">
        <v>34322</v>
      </c>
      <c r="L88" s="94"/>
      <c r="M88" s="51">
        <v>1150</v>
      </c>
      <c r="N88" s="61"/>
      <c r="O88" s="61"/>
      <c r="P88" s="61"/>
      <c r="Q88" s="61"/>
      <c r="R88" s="27" t="s">
        <v>113</v>
      </c>
      <c r="S88" s="23"/>
      <c r="T88" s="23"/>
      <c r="U88" s="23"/>
      <c r="V88" s="23"/>
      <c r="W88" s="23"/>
      <c r="X88" s="23"/>
      <c r="Y88" s="23"/>
      <c r="Z88" s="24"/>
      <c r="AA88" s="24"/>
    </row>
    <row r="89" spans="1:27" ht="22.5" customHeight="1" x14ac:dyDescent="0.2">
      <c r="A89" s="39" t="s">
        <v>98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4"/>
      <c r="AA89" s="24"/>
    </row>
    <row r="90" spans="1:27" ht="15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spans="1:27" ht="15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spans="1:27" ht="15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spans="1:27" ht="15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spans="1:27" ht="15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spans="1:27" ht="15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spans="1:27" ht="15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spans="1:27" ht="15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spans="1:27" ht="15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71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spans="1:27" ht="15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71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spans="1:27" ht="15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71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spans="1:27" ht="15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71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spans="1:27" ht="15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71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spans="1:27" ht="15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spans="1:27" ht="15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spans="1:27" ht="15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spans="1:27" ht="15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spans="1:27" ht="15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spans="1:27" ht="15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spans="1:27" ht="15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spans="1:27" ht="15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spans="1:27" ht="15.75" customHeight="1" x14ac:dyDescent="0.2">
      <c r="A111" s="40"/>
      <c r="B111" s="40"/>
      <c r="C111" s="40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spans="1:27" ht="15.75" customHeight="1" x14ac:dyDescent="0.2">
      <c r="A112" s="40"/>
      <c r="B112" s="40"/>
      <c r="C112" s="40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spans="1:27" ht="15.75" customHeight="1" x14ac:dyDescent="0.2">
      <c r="A113" s="40"/>
      <c r="B113" s="40"/>
      <c r="C113" s="40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spans="1:27" ht="15.75" customHeight="1" x14ac:dyDescent="0.2">
      <c r="A114" s="40"/>
      <c r="B114" s="40"/>
      <c r="C114" s="40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spans="1:27" ht="15.75" customHeight="1" x14ac:dyDescent="0.2">
      <c r="A115" s="40"/>
      <c r="B115" s="40"/>
      <c r="C115" s="40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spans="1:27" ht="15.75" customHeight="1" x14ac:dyDescent="0.2">
      <c r="A116" s="40"/>
      <c r="B116" s="40"/>
      <c r="C116" s="40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spans="1:27" ht="15.75" customHeight="1" x14ac:dyDescent="0.2">
      <c r="A117" s="40"/>
      <c r="B117" s="40"/>
      <c r="C117" s="40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spans="1:27" ht="15.75" customHeight="1" x14ac:dyDescent="0.2">
      <c r="A118" s="40"/>
      <c r="B118" s="40"/>
      <c r="C118" s="40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spans="1:27" ht="15.75" customHeight="1" x14ac:dyDescent="0.2">
      <c r="A119" s="40"/>
      <c r="B119" s="40"/>
      <c r="C119" s="40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spans="1:27" ht="15.75" customHeight="1" x14ac:dyDescent="0.2">
      <c r="A120" s="40"/>
      <c r="B120" s="40"/>
      <c r="C120" s="40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spans="1:27" ht="15.75" customHeight="1" x14ac:dyDescent="0.2">
      <c r="A121" s="40"/>
      <c r="B121" s="40"/>
      <c r="C121" s="40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spans="1:27" ht="15.75" customHeight="1" x14ac:dyDescent="0.2">
      <c r="A122" s="40"/>
      <c r="B122" s="40"/>
      <c r="C122" s="40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spans="1:27" ht="15.75" customHeight="1" x14ac:dyDescent="0.2">
      <c r="A123" s="40"/>
      <c r="B123" s="40"/>
      <c r="C123" s="40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spans="1:27" ht="15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spans="1:27" ht="15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spans="1:27" ht="15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spans="1:27" ht="15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spans="1:27" ht="15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spans="1:27" ht="15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spans="1:27" ht="15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spans="1:27" ht="15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spans="1:27" ht="15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spans="1:27" ht="15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spans="1:27" ht="15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spans="1:27" ht="15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spans="1:27" ht="15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spans="1:27" ht="15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spans="1:27" ht="15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spans="1:27" ht="15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spans="1:27" ht="15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spans="1:27" ht="15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spans="1:27" ht="15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spans="1:27" ht="15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spans="1:27" ht="15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spans="1:27" ht="15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spans="1:27" ht="15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spans="1:27" ht="15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spans="1:27" ht="15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spans="1:27" ht="15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spans="1:27" ht="15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spans="1:27" ht="15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spans="1:27" ht="15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spans="1:27" ht="15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spans="1:27" ht="15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spans="1:27" ht="15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spans="1:27" ht="15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spans="1:27" ht="15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spans="1:27" ht="15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spans="1:27" ht="15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spans="1:27" ht="15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spans="1:27" ht="15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spans="1:27" ht="15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spans="1:27" ht="15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spans="1:27" ht="15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spans="1:27" ht="15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spans="1:27" ht="15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spans="1:27" ht="15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spans="1:27" ht="15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spans="1:27" ht="15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spans="1:27" ht="15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spans="1:27" ht="15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spans="1:27" ht="15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spans="1:27" ht="15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spans="1:27" ht="15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spans="1:27" ht="15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spans="1:27" ht="15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spans="1:27" ht="15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spans="1:27" ht="15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spans="1:27" ht="15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spans="1:27" ht="15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spans="1:27" ht="15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spans="1:27" ht="15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spans="1:27" ht="15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spans="1:27" ht="15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spans="1:27" ht="15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spans="1:27" ht="15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spans="1:27" ht="15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spans="1:27" ht="15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 ht="15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spans="1:27" ht="15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spans="1:27" ht="15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spans="1:27" ht="15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spans="1:27" ht="15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spans="1:27" ht="15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spans="1:27" ht="15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spans="1:27" ht="15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spans="1:27" ht="15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spans="1:27" ht="15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spans="1:27" ht="15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spans="1:27" ht="15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spans="1:27" ht="15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spans="1:27" ht="15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spans="1:27" ht="15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spans="1:27" ht="15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spans="1:27" ht="15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spans="1:27" ht="15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spans="1:27" ht="15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spans="1:27" ht="15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spans="1:27" ht="15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spans="1:27" ht="15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spans="1:27" ht="15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spans="1:27" ht="15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spans="1:27" ht="15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spans="1:27" ht="15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spans="1:27" ht="15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spans="1:27" ht="15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spans="1:27" ht="15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spans="1:27" ht="15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spans="1:27" ht="15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spans="1:27" ht="15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spans="1:27" ht="15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 spans="1:27" ht="15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</row>
    <row r="223" spans="1:27" ht="15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</row>
    <row r="224" spans="1:27" ht="15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</row>
    <row r="225" spans="1:27" ht="15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</row>
    <row r="226" spans="1:27" ht="15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</row>
    <row r="227" spans="1:27" ht="15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</row>
    <row r="228" spans="1:27" ht="15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</row>
    <row r="229" spans="1:27" ht="15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 ht="15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spans="1:27" ht="15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</row>
    <row r="232" spans="1:27" ht="15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</row>
    <row r="233" spans="1:27" ht="15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</row>
    <row r="234" spans="1:27" ht="15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</row>
    <row r="235" spans="1:27" ht="15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</row>
    <row r="236" spans="1:27" ht="15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</row>
    <row r="237" spans="1:27" ht="15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</row>
    <row r="238" spans="1:27" ht="15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</row>
    <row r="239" spans="1:27" ht="15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</row>
    <row r="240" spans="1:27" ht="15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</row>
    <row r="241" spans="1:27" ht="15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</row>
    <row r="242" spans="1:27" ht="15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</row>
    <row r="243" spans="1:27" ht="15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</row>
    <row r="244" spans="1:27" ht="15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</row>
    <row r="245" spans="1:27" ht="15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</row>
    <row r="246" spans="1:27" ht="15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</row>
    <row r="247" spans="1:27" ht="15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</row>
    <row r="248" spans="1:27" ht="15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</row>
    <row r="249" spans="1:27" ht="15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</row>
    <row r="250" spans="1:27" ht="15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</row>
    <row r="251" spans="1:27" ht="15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</row>
    <row r="252" spans="1:27" ht="15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</row>
    <row r="253" spans="1:27" ht="15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</row>
    <row r="254" spans="1:27" ht="15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</row>
    <row r="255" spans="1:27" ht="15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</row>
    <row r="256" spans="1:27" ht="15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</row>
    <row r="257" spans="1:27" ht="15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</row>
    <row r="258" spans="1:27" ht="15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</row>
    <row r="259" spans="1:27" ht="15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</row>
    <row r="260" spans="1:27" ht="15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</row>
    <row r="261" spans="1:27" ht="15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</row>
    <row r="262" spans="1:27" ht="15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</row>
    <row r="263" spans="1:27" ht="15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</row>
    <row r="264" spans="1:27" ht="15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</row>
    <row r="265" spans="1:27" ht="15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</row>
    <row r="266" spans="1:27" ht="15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</row>
    <row r="267" spans="1:27" ht="15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spans="1:27" ht="15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spans="1:27" ht="15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spans="1:27" ht="15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spans="1:27" ht="15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spans="1:27" ht="15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spans="1:27" ht="15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spans="1:27" ht="15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spans="1:27" ht="15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spans="1:27" ht="15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</row>
    <row r="277" spans="1:27" ht="15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</row>
    <row r="278" spans="1:27" ht="15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</row>
    <row r="279" spans="1:27" ht="15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</row>
    <row r="280" spans="1:27" ht="15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</row>
    <row r="281" spans="1:27" ht="15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</row>
    <row r="282" spans="1:27" ht="15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</row>
    <row r="283" spans="1:27" ht="15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</row>
    <row r="284" spans="1:27" ht="15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</row>
    <row r="285" spans="1:27" ht="15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spans="1:27" ht="15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spans="1:27" ht="15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spans="1:27" ht="15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spans="1:27" ht="15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spans="1:27" ht="15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spans="1:27" ht="15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spans="1:27" ht="15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spans="1:27" ht="15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spans="1:27" ht="15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</row>
    <row r="295" spans="1:27" ht="15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</row>
    <row r="296" spans="1:27" ht="15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</row>
    <row r="297" spans="1:27" ht="15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</row>
    <row r="298" spans="1:27" ht="15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</row>
    <row r="299" spans="1:27" ht="15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</row>
    <row r="300" spans="1:27" ht="15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</row>
    <row r="301" spans="1:27" ht="15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</row>
    <row r="302" spans="1:27" ht="15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</row>
    <row r="303" spans="1:27" ht="15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</row>
    <row r="304" spans="1:27" ht="15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</row>
    <row r="305" spans="1:27" ht="15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</row>
    <row r="306" spans="1:27" ht="15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</row>
    <row r="307" spans="1:27" ht="15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</row>
    <row r="308" spans="1:27" ht="15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</row>
    <row r="309" spans="1:27" ht="15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</row>
    <row r="310" spans="1:27" ht="15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</row>
    <row r="311" spans="1:27" ht="15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</row>
    <row r="312" spans="1:27" ht="15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</row>
    <row r="313" spans="1:27" ht="15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spans="1:27" ht="15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spans="1:27" ht="15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spans="1:27" ht="15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</row>
    <row r="317" spans="1:27" ht="15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</row>
    <row r="318" spans="1:27" ht="15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</row>
    <row r="319" spans="1:27" ht="15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</row>
    <row r="320" spans="1:27" ht="15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</row>
    <row r="321" spans="1:27" ht="15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spans="1:27" ht="15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spans="1:27" ht="15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spans="1:27" ht="15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spans="1:27" ht="15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spans="1:27" ht="15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spans="1:27" ht="15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spans="1:27" ht="15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spans="1:27" ht="15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spans="1:27" ht="15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</row>
    <row r="331" spans="1:27" ht="15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</row>
    <row r="332" spans="1:27" ht="15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</row>
    <row r="333" spans="1:27" ht="15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</row>
    <row r="334" spans="1:27" ht="15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</row>
    <row r="335" spans="1:27" ht="15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</row>
    <row r="336" spans="1:27" ht="15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</row>
    <row r="337" spans="1:27" ht="15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</row>
    <row r="338" spans="1:27" ht="15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</row>
    <row r="339" spans="1:27" ht="15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</row>
    <row r="340" spans="1:27" ht="15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</row>
    <row r="341" spans="1:27" ht="15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</row>
    <row r="342" spans="1:27" ht="15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</row>
    <row r="343" spans="1:27" ht="15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</row>
    <row r="344" spans="1:27" ht="15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</row>
    <row r="345" spans="1:27" ht="15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</row>
    <row r="346" spans="1:27" ht="15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</row>
    <row r="347" spans="1:27" ht="15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</row>
    <row r="348" spans="1:27" ht="15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</row>
    <row r="349" spans="1:27" ht="15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</row>
    <row r="350" spans="1:27" ht="15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</row>
    <row r="351" spans="1:27" ht="15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</row>
    <row r="352" spans="1:27" ht="15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</row>
    <row r="353" spans="1:27" ht="15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</row>
    <row r="354" spans="1:27" ht="15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</row>
    <row r="355" spans="1:27" ht="15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</row>
    <row r="356" spans="1:27" ht="15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</row>
    <row r="357" spans="1:27" ht="15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spans="1:27" ht="15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spans="1:27" ht="15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spans="1:27" ht="15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spans="1:27" ht="15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spans="1:27" ht="15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spans="1:27" ht="15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spans="1:27" ht="15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spans="1:27" ht="15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spans="1:27" ht="15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</row>
    <row r="367" spans="1:27" ht="15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</row>
    <row r="368" spans="1:27" ht="15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</row>
    <row r="369" spans="1:27" ht="15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</row>
    <row r="370" spans="1:27" ht="15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</row>
    <row r="371" spans="1:27" ht="15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</row>
    <row r="372" spans="1:27" ht="15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</row>
    <row r="373" spans="1:27" ht="15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</row>
    <row r="374" spans="1:27" ht="15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</row>
    <row r="375" spans="1:27" ht="15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spans="1:27" ht="15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spans="1:27" ht="15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spans="1:27" ht="15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spans="1:27" ht="15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spans="1:27" ht="15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spans="1:27" ht="15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spans="1:27" ht="15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spans="1:27" ht="15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spans="1:27" ht="15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</row>
    <row r="385" spans="1:27" ht="15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</row>
    <row r="386" spans="1:27" ht="15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</row>
    <row r="387" spans="1:27" ht="15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</row>
    <row r="388" spans="1:27" ht="15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</row>
    <row r="389" spans="1:27" ht="15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</row>
    <row r="390" spans="1:27" ht="15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</row>
    <row r="391" spans="1:27" ht="15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</row>
    <row r="392" spans="1:27" ht="15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</row>
    <row r="393" spans="1:27" ht="15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spans="1:27" ht="15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spans="1:27" ht="15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spans="1:27" ht="15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spans="1:27" ht="15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spans="1:27" ht="15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spans="1:27" ht="15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spans="1:27" ht="15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spans="1:27" ht="15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spans="1:27" ht="15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</row>
    <row r="403" spans="1:27" ht="15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</row>
    <row r="404" spans="1:27" ht="15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</row>
    <row r="405" spans="1:27" ht="15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</row>
    <row r="406" spans="1:27" ht="15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</row>
    <row r="407" spans="1:27" ht="15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</row>
    <row r="408" spans="1:27" ht="15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</row>
    <row r="409" spans="1:27" ht="15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</row>
    <row r="410" spans="1:27" ht="15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</row>
    <row r="411" spans="1:27" ht="15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spans="1:27" ht="15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spans="1:27" ht="15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spans="1:27" ht="15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spans="1:27" ht="15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spans="1:27" ht="15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spans="1:27" ht="15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spans="1:27" ht="15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spans="1:27" ht="15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</row>
    <row r="420" spans="1:27" ht="15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</row>
    <row r="421" spans="1:27" ht="15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</row>
    <row r="422" spans="1:27" ht="15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</row>
    <row r="423" spans="1:27" ht="15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</row>
    <row r="424" spans="1:27" ht="15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</row>
    <row r="425" spans="1:27" ht="15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</row>
    <row r="426" spans="1:27" ht="15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</row>
    <row r="427" spans="1:27" ht="15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</row>
    <row r="428" spans="1:27" ht="15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</row>
    <row r="429" spans="1:27" ht="15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</row>
    <row r="430" spans="1:27" ht="15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</row>
    <row r="431" spans="1:27" ht="15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</row>
    <row r="432" spans="1:27" ht="15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</row>
    <row r="433" spans="1:27" ht="15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</row>
    <row r="434" spans="1:27" ht="15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</row>
    <row r="435" spans="1:27" ht="15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</row>
    <row r="436" spans="1:27" ht="15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spans="1:27" ht="15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spans="1:27" ht="15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spans="1:27" ht="15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spans="1:27" ht="15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spans="1:27" ht="15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spans="1:27" ht="15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spans="1:27" ht="15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spans="1:27" ht="15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</row>
    <row r="445" spans="1:27" ht="15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</row>
    <row r="446" spans="1:27" ht="15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</row>
    <row r="447" spans="1:27" ht="15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</row>
    <row r="448" spans="1:27" ht="15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</row>
    <row r="449" spans="1:27" ht="15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</row>
    <row r="450" spans="1:27" ht="15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</row>
    <row r="451" spans="1:27" ht="15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</row>
    <row r="452" spans="1:27" ht="15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spans="1:27" ht="15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spans="1:27" ht="15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spans="1:27" ht="15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spans="1:27" ht="15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spans="1:27" ht="15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spans="1:27" ht="15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spans="1:27" ht="15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spans="1:27" ht="15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</row>
    <row r="461" spans="1:27" ht="15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</row>
    <row r="462" spans="1:27" ht="15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</row>
    <row r="463" spans="1:27" ht="15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</row>
    <row r="464" spans="1:27" ht="15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</row>
    <row r="465" spans="1:27" ht="15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</row>
    <row r="466" spans="1:27" ht="15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</row>
    <row r="467" spans="1:27" ht="15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</row>
    <row r="468" spans="1:27" ht="15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spans="1:27" ht="15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spans="1:27" ht="15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spans="1:27" ht="15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spans="1:27" ht="15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spans="1:27" ht="15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spans="1:27" ht="15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spans="1:27" ht="15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spans="1:27" ht="15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</row>
    <row r="477" spans="1:27" ht="15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</row>
    <row r="478" spans="1:27" ht="15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</row>
    <row r="479" spans="1:27" ht="15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</row>
    <row r="480" spans="1:27" ht="15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</row>
    <row r="481" spans="1:27" ht="15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</row>
    <row r="482" spans="1:27" ht="15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</row>
    <row r="483" spans="1:27" ht="15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</row>
    <row r="484" spans="1:27" ht="15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spans="1:27" ht="15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spans="1:27" ht="15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spans="1:27" ht="15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spans="1:27" ht="15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spans="1:27" ht="15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spans="1:27" ht="15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spans="1:27" ht="15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spans="1:27" ht="15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</row>
    <row r="493" spans="1:27" ht="15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</row>
    <row r="494" spans="1:27" ht="15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</row>
    <row r="495" spans="1:27" ht="15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</row>
    <row r="496" spans="1:27" ht="15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</row>
    <row r="497" spans="1:27" ht="15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</row>
    <row r="498" spans="1:27" ht="15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</row>
    <row r="499" spans="1:27" ht="15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</row>
    <row r="500" spans="1:27" ht="15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spans="1:27" ht="15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spans="1:27" ht="15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spans="1:27" ht="15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spans="1:27" ht="15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spans="1:27" ht="15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spans="1:27" ht="15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spans="1:27" ht="15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spans="1:27" ht="15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</row>
    <row r="509" spans="1:27" ht="15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</row>
    <row r="510" spans="1:27" ht="15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</row>
    <row r="511" spans="1:27" ht="15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</row>
    <row r="512" spans="1:27" ht="15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</row>
    <row r="513" spans="1:27" ht="15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</row>
    <row r="514" spans="1:27" ht="15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</row>
    <row r="515" spans="1:27" ht="15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</row>
    <row r="516" spans="1:27" ht="15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spans="1:27" ht="15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spans="1:27" ht="15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spans="1:27" ht="15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spans="1:27" ht="15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spans="1:27" ht="15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spans="1:27" ht="15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spans="1:27" ht="15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spans="1:27" ht="15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</row>
    <row r="525" spans="1:27" ht="15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</row>
    <row r="526" spans="1:27" ht="15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</row>
    <row r="527" spans="1:27" ht="15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</row>
    <row r="528" spans="1:27" ht="15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</row>
    <row r="529" spans="1:27" ht="15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</row>
    <row r="530" spans="1:27" ht="15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</row>
    <row r="531" spans="1:27" ht="15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</row>
    <row r="532" spans="1:27" ht="15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spans="1:27" ht="15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spans="1:27" ht="15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spans="1:27" ht="15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spans="1:27" ht="15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spans="1:27" ht="15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spans="1:27" ht="15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spans="1:27" ht="15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spans="1:27" ht="15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</row>
    <row r="541" spans="1:27" ht="15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</row>
    <row r="542" spans="1:27" ht="15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</row>
    <row r="543" spans="1:27" ht="15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</row>
    <row r="544" spans="1:27" ht="15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</row>
    <row r="545" spans="1:27" ht="15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</row>
    <row r="546" spans="1:27" ht="15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</row>
    <row r="547" spans="1:27" ht="15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</row>
    <row r="548" spans="1:27" ht="15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</row>
    <row r="549" spans="1:27" ht="15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</row>
    <row r="550" spans="1:27" ht="15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</row>
    <row r="551" spans="1:27" ht="15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</row>
    <row r="552" spans="1:27" ht="15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</row>
    <row r="553" spans="1:27" ht="15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</row>
    <row r="554" spans="1:27" ht="15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</row>
    <row r="555" spans="1:27" ht="15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</row>
    <row r="556" spans="1:27" ht="15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</row>
    <row r="557" spans="1:27" ht="15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</row>
    <row r="558" spans="1:27" ht="15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</row>
    <row r="559" spans="1:27" ht="15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</row>
    <row r="560" spans="1:27" ht="15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</row>
    <row r="561" spans="1:27" ht="15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</row>
    <row r="562" spans="1:27" ht="15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</row>
    <row r="563" spans="1:27" ht="15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</row>
    <row r="564" spans="1:27" ht="15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</row>
    <row r="565" spans="1:27" ht="15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</row>
    <row r="566" spans="1:27" ht="15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</row>
    <row r="567" spans="1:27" ht="15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</row>
    <row r="568" spans="1:27" ht="15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</row>
    <row r="569" spans="1:27" ht="15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</row>
    <row r="570" spans="1:27" ht="15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</row>
    <row r="571" spans="1:27" ht="15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</row>
    <row r="572" spans="1:27" ht="15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</row>
    <row r="573" spans="1:27" ht="15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</row>
    <row r="574" spans="1:27" ht="15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</row>
    <row r="575" spans="1:27" ht="15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</row>
    <row r="576" spans="1:27" ht="15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</row>
    <row r="577" spans="1:27" ht="15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</row>
    <row r="578" spans="1:27" ht="15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</row>
    <row r="579" spans="1:27" ht="15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</row>
    <row r="580" spans="1:27" ht="15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</row>
    <row r="581" spans="1:27" ht="15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</row>
    <row r="582" spans="1:27" ht="15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</row>
    <row r="583" spans="1:27" ht="15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</row>
    <row r="584" spans="1:27" ht="15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</row>
    <row r="585" spans="1:27" ht="15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</row>
    <row r="586" spans="1:27" ht="15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</row>
    <row r="587" spans="1:27" ht="15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</row>
    <row r="588" spans="1:27" ht="15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</row>
    <row r="589" spans="1:27" ht="15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</row>
    <row r="590" spans="1:27" ht="15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</row>
    <row r="591" spans="1:27" ht="15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</row>
    <row r="592" spans="1:27" ht="15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</row>
    <row r="593" spans="1:27" ht="15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</row>
    <row r="594" spans="1:27" ht="15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</row>
    <row r="595" spans="1:27" ht="15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</row>
    <row r="596" spans="1:27" ht="15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</row>
    <row r="597" spans="1:27" ht="15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</row>
    <row r="598" spans="1:27" ht="15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</row>
    <row r="599" spans="1:27" ht="15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</row>
    <row r="600" spans="1:27" ht="15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</row>
    <row r="601" spans="1:27" ht="15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</row>
    <row r="602" spans="1:27" ht="15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</row>
    <row r="603" spans="1:27" ht="15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</row>
    <row r="604" spans="1:27" ht="15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</row>
    <row r="605" spans="1:27" ht="15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</row>
    <row r="606" spans="1:27" ht="15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</row>
    <row r="607" spans="1:27" ht="15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</row>
    <row r="608" spans="1:27" ht="15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</row>
    <row r="609" spans="1:27" ht="15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</row>
    <row r="610" spans="1:27" ht="15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</row>
    <row r="611" spans="1:27" ht="15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</row>
    <row r="612" spans="1:27" ht="15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</row>
    <row r="613" spans="1:27" ht="15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</row>
    <row r="614" spans="1:27" ht="15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</row>
    <row r="615" spans="1:27" ht="15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</row>
    <row r="616" spans="1:27" ht="15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</row>
    <row r="617" spans="1:27" ht="15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</row>
    <row r="618" spans="1:27" ht="15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</row>
    <row r="619" spans="1:27" ht="15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</row>
    <row r="620" spans="1:27" ht="15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</row>
    <row r="621" spans="1:27" ht="15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</row>
    <row r="622" spans="1:27" ht="15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</row>
    <row r="623" spans="1:27" ht="15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</row>
    <row r="624" spans="1:27" ht="15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</row>
    <row r="625" spans="1:27" ht="15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</row>
    <row r="626" spans="1:27" ht="15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</row>
    <row r="627" spans="1:27" ht="15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</row>
    <row r="628" spans="1:27" ht="15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</row>
    <row r="629" spans="1:27" ht="15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</row>
    <row r="630" spans="1:27" ht="15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spans="1:27" ht="15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spans="1:27" ht="15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</row>
    <row r="633" spans="1:27" ht="15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</row>
    <row r="634" spans="1:27" ht="15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</row>
    <row r="635" spans="1:27" ht="15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</row>
    <row r="636" spans="1:27" ht="15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</row>
    <row r="637" spans="1:27" ht="15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</row>
    <row r="638" spans="1:27" ht="15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</row>
    <row r="639" spans="1:27" ht="15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</row>
    <row r="640" spans="1:27" ht="15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</row>
    <row r="641" spans="1:27" ht="15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</row>
    <row r="642" spans="1:27" ht="15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spans="1:27" ht="15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spans="1:27" ht="15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</row>
    <row r="645" spans="1:27" ht="15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</row>
    <row r="646" spans="1:27" ht="15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</row>
    <row r="647" spans="1:27" ht="15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</row>
    <row r="648" spans="1:27" ht="15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</row>
    <row r="649" spans="1:27" ht="15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</row>
    <row r="650" spans="1:27" ht="15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</row>
    <row r="651" spans="1:27" ht="15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</row>
    <row r="652" spans="1:27" ht="15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</row>
    <row r="653" spans="1:27" ht="15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</row>
    <row r="654" spans="1:27" ht="15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spans="1:27" ht="15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spans="1:27" ht="15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</row>
    <row r="657" spans="1:27" ht="15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</row>
    <row r="658" spans="1:27" ht="15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</row>
    <row r="659" spans="1:27" ht="15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</row>
    <row r="660" spans="1:27" ht="15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</row>
    <row r="661" spans="1:27" ht="15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</row>
    <row r="662" spans="1:27" ht="15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</row>
    <row r="663" spans="1:27" ht="15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</row>
    <row r="664" spans="1:27" ht="15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</row>
    <row r="665" spans="1:27" ht="15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</row>
    <row r="666" spans="1:27" ht="15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spans="1:27" ht="15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spans="1:27" ht="15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</row>
    <row r="669" spans="1:27" ht="15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</row>
    <row r="670" spans="1:27" ht="15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</row>
    <row r="671" spans="1:27" ht="15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</row>
    <row r="672" spans="1:27" ht="15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</row>
    <row r="673" spans="1:27" ht="15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</row>
    <row r="674" spans="1:27" ht="15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</row>
    <row r="675" spans="1:27" ht="15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</row>
    <row r="676" spans="1:27" ht="15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</row>
    <row r="677" spans="1:27" ht="15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</row>
    <row r="678" spans="1:27" ht="15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spans="1:27" ht="15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spans="1:27" ht="15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</row>
    <row r="681" spans="1:27" ht="15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</row>
    <row r="682" spans="1:27" ht="15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</row>
    <row r="683" spans="1:27" ht="15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</row>
    <row r="684" spans="1:27" ht="15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</row>
    <row r="685" spans="1:27" ht="15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</row>
    <row r="686" spans="1:27" ht="15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</row>
    <row r="687" spans="1:27" ht="15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</row>
    <row r="688" spans="1:27" ht="15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</row>
    <row r="689" spans="1:27" ht="15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</row>
    <row r="690" spans="1:27" ht="15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</row>
    <row r="691" spans="1:27" ht="15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</row>
    <row r="692" spans="1:27" ht="15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</row>
    <row r="693" spans="1:27" ht="15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</row>
    <row r="694" spans="1:27" ht="15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</row>
    <row r="695" spans="1:27" ht="15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</row>
    <row r="696" spans="1:27" ht="15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</row>
    <row r="697" spans="1:27" ht="15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</row>
    <row r="698" spans="1:27" ht="15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</row>
    <row r="699" spans="1:27" ht="15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</row>
    <row r="700" spans="1:27" ht="15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</row>
    <row r="701" spans="1:27" ht="15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</row>
    <row r="702" spans="1:27" ht="15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</row>
    <row r="703" spans="1:27" ht="15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</row>
    <row r="704" spans="1:27" ht="15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</row>
    <row r="705" spans="1:27" ht="15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</row>
    <row r="706" spans="1:27" ht="15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</row>
    <row r="707" spans="1:27" ht="15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</row>
    <row r="708" spans="1:27" ht="15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</row>
    <row r="709" spans="1:27" ht="15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</row>
    <row r="710" spans="1:27" ht="15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</row>
    <row r="711" spans="1:27" ht="15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</row>
    <row r="712" spans="1:27" ht="15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spans="1:27" ht="15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spans="1:27" ht="15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spans="1:27" ht="15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spans="1:27" ht="15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spans="1:27" ht="15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spans="1:27" ht="15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</row>
    <row r="719" spans="1:27" ht="15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</row>
    <row r="720" spans="1:27" ht="15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</row>
    <row r="721" spans="1:27" ht="15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</row>
    <row r="722" spans="1:27" ht="15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</row>
    <row r="723" spans="1:27" ht="15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</row>
    <row r="724" spans="1:27" ht="15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</row>
    <row r="725" spans="1:27" ht="15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</row>
    <row r="726" spans="1:27" ht="15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</row>
    <row r="727" spans="1:27" ht="15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</row>
    <row r="728" spans="1:27" ht="15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</row>
    <row r="729" spans="1:27" ht="15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</row>
    <row r="730" spans="1:27" ht="15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</row>
    <row r="731" spans="1:27" ht="15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</row>
    <row r="732" spans="1:27" ht="15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</row>
    <row r="733" spans="1:27" ht="15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</row>
    <row r="734" spans="1:27" ht="15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</row>
    <row r="735" spans="1:27" ht="15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</row>
    <row r="736" spans="1:27" ht="15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</row>
    <row r="737" spans="1:27" ht="15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</row>
    <row r="738" spans="1:27" ht="15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</row>
    <row r="739" spans="1:27" ht="15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</row>
    <row r="740" spans="1:27" ht="15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</row>
    <row r="741" spans="1:27" ht="15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</row>
    <row r="742" spans="1:27" ht="15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</row>
    <row r="743" spans="1:27" ht="15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</row>
    <row r="744" spans="1:27" ht="15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</row>
    <row r="745" spans="1:27" ht="15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</row>
    <row r="746" spans="1:27" ht="15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</row>
    <row r="747" spans="1:27" ht="15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</row>
    <row r="748" spans="1:27" ht="15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</row>
    <row r="749" spans="1:27" ht="15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</row>
    <row r="750" spans="1:27" ht="15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</row>
    <row r="751" spans="1:27" ht="15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</row>
    <row r="752" spans="1:27" ht="15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</row>
    <row r="753" spans="1:27" ht="15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</row>
    <row r="754" spans="1:27" ht="15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</row>
    <row r="755" spans="1:27" ht="15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</row>
    <row r="756" spans="1:27" ht="15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</row>
    <row r="757" spans="1:27" ht="15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</row>
    <row r="758" spans="1:27" ht="15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</row>
    <row r="759" spans="1:27" ht="15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</row>
    <row r="760" spans="1:27" ht="15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</row>
    <row r="761" spans="1:27" ht="15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</row>
    <row r="762" spans="1:27" ht="15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</row>
    <row r="763" spans="1:27" ht="15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</row>
    <row r="764" spans="1:27" ht="15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</row>
    <row r="765" spans="1:27" ht="15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</row>
    <row r="766" spans="1:27" ht="15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</row>
    <row r="767" spans="1:27" ht="15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</row>
    <row r="768" spans="1:27" ht="15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</row>
    <row r="769" spans="1:27" ht="15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</row>
    <row r="770" spans="1:27" ht="15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</row>
    <row r="771" spans="1:27" ht="15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</row>
    <row r="772" spans="1:27" ht="15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</row>
    <row r="773" spans="1:27" ht="15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</row>
    <row r="774" spans="1:27" ht="15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</row>
    <row r="775" spans="1:27" ht="15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</row>
    <row r="776" spans="1:27" ht="15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</row>
    <row r="777" spans="1:27" ht="15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</row>
    <row r="778" spans="1:27" ht="15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</row>
    <row r="779" spans="1:27" ht="15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</row>
    <row r="780" spans="1:27" ht="15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</row>
    <row r="781" spans="1:27" ht="15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</row>
    <row r="782" spans="1:27" ht="15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</row>
    <row r="783" spans="1:27" ht="15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</row>
    <row r="784" spans="1:27" ht="15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</row>
    <row r="785" spans="1:27" ht="15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</row>
    <row r="786" spans="1:27" ht="15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</row>
    <row r="787" spans="1:27" ht="15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</row>
    <row r="788" spans="1:27" ht="15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</row>
    <row r="789" spans="1:27" ht="15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</row>
    <row r="790" spans="1:27" ht="15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</row>
    <row r="791" spans="1:27" ht="15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</row>
    <row r="792" spans="1:27" ht="15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</row>
    <row r="793" spans="1:27" ht="15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</row>
    <row r="794" spans="1:27" ht="15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</row>
    <row r="795" spans="1:27" ht="15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</row>
    <row r="796" spans="1:27" ht="15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</row>
    <row r="797" spans="1:27" ht="15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</row>
    <row r="798" spans="1:27" ht="15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</row>
    <row r="799" spans="1:27" ht="15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</row>
    <row r="800" spans="1:27" ht="15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</row>
    <row r="801" spans="1:27" ht="15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</row>
    <row r="802" spans="1:27" ht="15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</row>
    <row r="803" spans="1:27" ht="15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</row>
    <row r="804" spans="1:27" ht="15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</row>
    <row r="805" spans="1:27" ht="15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</row>
    <row r="806" spans="1:27" ht="15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</row>
    <row r="807" spans="1:27" ht="15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</row>
    <row r="808" spans="1:27" ht="15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</row>
    <row r="809" spans="1:27" ht="15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</row>
    <row r="810" spans="1:27" ht="15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</row>
    <row r="811" spans="1:27" ht="15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</row>
    <row r="812" spans="1:27" ht="15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</row>
    <row r="813" spans="1:27" ht="15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</row>
    <row r="814" spans="1:27" ht="15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</row>
    <row r="815" spans="1:27" ht="15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</row>
    <row r="816" spans="1:27" ht="15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</row>
    <row r="817" spans="1:27" ht="15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</row>
    <row r="818" spans="1:27" ht="15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</row>
    <row r="819" spans="1:27" ht="15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</row>
    <row r="820" spans="1:27" ht="15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</row>
    <row r="821" spans="1:27" ht="15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</row>
    <row r="822" spans="1:27" ht="15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</row>
    <row r="823" spans="1:27" ht="15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</row>
    <row r="824" spans="1:27" ht="15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</row>
    <row r="825" spans="1:27" ht="15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</row>
    <row r="826" spans="1:27" ht="15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</row>
    <row r="827" spans="1:27" ht="15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</row>
    <row r="828" spans="1:27" ht="15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</row>
    <row r="829" spans="1:27" ht="15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</row>
    <row r="830" spans="1:27" ht="15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</row>
    <row r="831" spans="1:27" ht="15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</row>
    <row r="832" spans="1:27" ht="15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</row>
    <row r="833" spans="1:27" ht="15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</row>
    <row r="834" spans="1:27" ht="15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</row>
    <row r="835" spans="1:27" ht="15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</row>
    <row r="836" spans="1:27" ht="15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</row>
    <row r="837" spans="1:27" ht="15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</row>
    <row r="838" spans="1:27" ht="15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</row>
    <row r="839" spans="1:27" ht="15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</row>
    <row r="840" spans="1:27" ht="15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</row>
    <row r="841" spans="1:27" ht="15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</row>
    <row r="842" spans="1:27" ht="15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</row>
    <row r="843" spans="1:27" ht="15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</row>
    <row r="844" spans="1:27" ht="15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</row>
    <row r="845" spans="1:27" ht="15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</row>
    <row r="846" spans="1:27" ht="15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</row>
    <row r="847" spans="1:27" ht="15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</row>
    <row r="848" spans="1:27" ht="15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</row>
    <row r="849" spans="1:27" ht="15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</row>
    <row r="850" spans="1:27" ht="15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</row>
    <row r="851" spans="1:27" ht="15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</row>
    <row r="852" spans="1:27" ht="15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</row>
    <row r="853" spans="1:27" ht="15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</row>
    <row r="854" spans="1:27" ht="15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</row>
    <row r="855" spans="1:27" ht="15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</row>
    <row r="856" spans="1:27" ht="15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</row>
    <row r="857" spans="1:27" ht="15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</row>
    <row r="858" spans="1:27" ht="15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</row>
    <row r="859" spans="1:27" ht="15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</row>
    <row r="860" spans="1:27" ht="15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</row>
    <row r="861" spans="1:27" ht="15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</row>
    <row r="862" spans="1:27" ht="15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</row>
    <row r="863" spans="1:27" ht="15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</row>
    <row r="864" spans="1:27" ht="15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</row>
    <row r="865" spans="1:27" ht="15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</row>
    <row r="866" spans="1:27" ht="15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</row>
    <row r="867" spans="1:27" ht="15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</row>
    <row r="868" spans="1:27" ht="15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</row>
    <row r="869" spans="1:27" ht="15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</row>
    <row r="870" spans="1:27" ht="15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</row>
    <row r="871" spans="1:27" ht="15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</row>
    <row r="872" spans="1:27" ht="15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</row>
    <row r="873" spans="1:27" ht="15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</row>
    <row r="874" spans="1:27" ht="15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</row>
    <row r="875" spans="1:27" ht="15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</row>
    <row r="876" spans="1:27" ht="15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</row>
    <row r="877" spans="1:27" ht="15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</row>
    <row r="878" spans="1:27" ht="15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</row>
    <row r="879" spans="1:27" ht="15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</row>
    <row r="880" spans="1:27" ht="15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</row>
    <row r="881" spans="1:27" ht="15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</row>
    <row r="882" spans="1:27" ht="15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</row>
    <row r="883" spans="1:27" ht="15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</row>
    <row r="884" spans="1:27" ht="15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</row>
    <row r="885" spans="1:27" ht="15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</row>
    <row r="886" spans="1:27" ht="15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</row>
    <row r="887" spans="1:27" ht="15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</row>
    <row r="888" spans="1:27" ht="15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</row>
    <row r="889" spans="1:27" ht="15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</row>
    <row r="890" spans="1:27" ht="15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</row>
    <row r="891" spans="1:27" ht="15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</row>
    <row r="892" spans="1:27" ht="15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</row>
    <row r="893" spans="1:27" ht="15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</row>
    <row r="894" spans="1:27" ht="15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</row>
    <row r="895" spans="1:27" ht="15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</row>
    <row r="896" spans="1:27" ht="15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</row>
    <row r="897" spans="1:27" ht="15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</row>
    <row r="898" spans="1:27" ht="15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</row>
    <row r="899" spans="1:27" ht="15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</row>
    <row r="900" spans="1:27" ht="15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</row>
    <row r="901" spans="1:27" ht="15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</row>
    <row r="902" spans="1:27" ht="15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</row>
    <row r="903" spans="1:27" ht="15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</row>
    <row r="904" spans="1:27" ht="15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</row>
    <row r="905" spans="1:27" ht="15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</row>
    <row r="906" spans="1:27" ht="15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</row>
    <row r="907" spans="1:27" ht="15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</row>
    <row r="908" spans="1:27" ht="15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</row>
    <row r="909" spans="1:27" ht="15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</row>
    <row r="910" spans="1:27" ht="15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</row>
    <row r="911" spans="1:27" ht="15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</row>
    <row r="912" spans="1:27" ht="15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</row>
    <row r="913" spans="1:27" ht="15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</row>
    <row r="914" spans="1:27" ht="15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</row>
    <row r="915" spans="1:27" ht="15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</row>
    <row r="916" spans="1:27" ht="15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</row>
    <row r="917" spans="1:27" ht="15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</row>
    <row r="918" spans="1:27" ht="15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</row>
    <row r="919" spans="1:27" ht="15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</row>
    <row r="920" spans="1:27" ht="15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</row>
    <row r="921" spans="1:27" ht="15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</row>
    <row r="922" spans="1:27" ht="15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</row>
    <row r="923" spans="1:27" ht="15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</row>
    <row r="924" spans="1:27" ht="15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</row>
    <row r="925" spans="1:27" ht="15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</row>
    <row r="926" spans="1:27" ht="15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</row>
    <row r="927" spans="1:27" ht="15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</row>
    <row r="928" spans="1:27" ht="15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</row>
    <row r="929" spans="1:27" ht="15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</row>
    <row r="930" spans="1:27" ht="15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</row>
    <row r="931" spans="1:27" ht="15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</row>
    <row r="932" spans="1:27" ht="15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</row>
    <row r="933" spans="1:27" ht="15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</row>
    <row r="934" spans="1:27" ht="15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</row>
    <row r="935" spans="1:27" ht="15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</row>
    <row r="936" spans="1:27" ht="15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</row>
    <row r="937" spans="1:27" ht="15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</row>
    <row r="938" spans="1:27" ht="15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</row>
    <row r="939" spans="1:27" ht="15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</row>
    <row r="940" spans="1:27" ht="15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</row>
    <row r="941" spans="1:27" ht="15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</row>
    <row r="942" spans="1:27" ht="15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</row>
    <row r="943" spans="1:27" ht="15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</row>
    <row r="944" spans="1:27" ht="15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</row>
    <row r="945" spans="1:27" ht="15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</row>
    <row r="946" spans="1:27" ht="15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</row>
    <row r="947" spans="1:27" ht="15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</row>
    <row r="948" spans="1:27" ht="15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</row>
    <row r="949" spans="1:27" ht="15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</row>
    <row r="950" spans="1:27" ht="15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</row>
    <row r="951" spans="1:27" ht="15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</row>
    <row r="952" spans="1:27" ht="15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</row>
    <row r="953" spans="1:27" ht="15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</row>
    <row r="954" spans="1:27" ht="15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</row>
    <row r="955" spans="1:27" ht="15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</row>
    <row r="956" spans="1:27" ht="15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</row>
    <row r="957" spans="1:27" ht="15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</row>
    <row r="958" spans="1:27" ht="15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</row>
    <row r="959" spans="1:27" ht="15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</row>
    <row r="960" spans="1:27" ht="15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</row>
    <row r="961" spans="1:27" ht="15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</row>
    <row r="962" spans="1:27" ht="15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</row>
    <row r="963" spans="1:27" ht="15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</row>
    <row r="964" spans="1:27" ht="15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</row>
    <row r="965" spans="1:27" ht="15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</row>
    <row r="966" spans="1:27" ht="15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</row>
    <row r="967" spans="1:27" ht="15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</row>
    <row r="968" spans="1:27" ht="15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</row>
    <row r="969" spans="1:27" ht="15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</row>
    <row r="970" spans="1:27" ht="15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</row>
    <row r="971" spans="1:27" ht="15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</row>
    <row r="972" spans="1:27" ht="15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</row>
    <row r="973" spans="1:27" ht="15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</row>
    <row r="974" spans="1:27" ht="15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</row>
    <row r="975" spans="1:27" ht="15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</row>
    <row r="976" spans="1:27" ht="15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</row>
    <row r="977" spans="1:27" ht="15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</row>
    <row r="978" spans="1:27" ht="15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</row>
    <row r="979" spans="1:27" ht="15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</row>
    <row r="980" spans="1:27" ht="15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</row>
    <row r="981" spans="1:27" ht="15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</row>
    <row r="982" spans="1:27" ht="15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</row>
    <row r="983" spans="1:27" ht="15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</row>
    <row r="984" spans="1:27" ht="15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</row>
    <row r="985" spans="1:27" ht="15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</row>
    <row r="986" spans="1:27" ht="15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</row>
    <row r="987" spans="1:27" ht="15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</row>
    <row r="988" spans="1:27" ht="15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</row>
    <row r="989" spans="1:27" ht="15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</row>
    <row r="990" spans="1:27" ht="15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</row>
    <row r="991" spans="1:27" ht="15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</row>
    <row r="992" spans="1:27" ht="15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</row>
    <row r="993" spans="1:27" ht="15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</row>
    <row r="994" spans="1:27" ht="15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</row>
    <row r="995" spans="1:27" ht="15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</row>
    <row r="996" spans="1:27" ht="15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</row>
    <row r="997" spans="1:27" ht="15.75" customHeight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</row>
    <row r="998" spans="1:27" ht="15.75" customHeight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</row>
    <row r="999" spans="1:27" ht="15.75" customHeight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</row>
    <row r="1000" spans="1:27" ht="15.75" customHeight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</row>
  </sheetData>
  <mergeCells count="17">
    <mergeCell ref="K69:L69"/>
    <mergeCell ref="K77:L77"/>
    <mergeCell ref="G78:H78"/>
    <mergeCell ref="K78:L78"/>
    <mergeCell ref="K70:L70"/>
    <mergeCell ref="K71:L71"/>
    <mergeCell ref="K72:L72"/>
    <mergeCell ref="K73:L73"/>
    <mergeCell ref="K74:L74"/>
    <mergeCell ref="K75:L75"/>
    <mergeCell ref="K76:L76"/>
    <mergeCell ref="C1:R1"/>
    <mergeCell ref="A2:A4"/>
    <mergeCell ref="B2:B4"/>
    <mergeCell ref="C2:J2"/>
    <mergeCell ref="K2:O2"/>
    <mergeCell ref="R2:R5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2nd QTR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 Brandon</cp:lastModifiedBy>
  <dcterms:modified xsi:type="dcterms:W3CDTF">2026-10-16T07:07:11Z</dcterms:modified>
</cp:coreProperties>
</file>